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.Tech 2nd Sem\EN 659 Energy Efficient Industrial Drives\Assignments\assignment 2 everything\"/>
    </mc:Choice>
  </mc:AlternateContent>
  <xr:revisionPtr revIDLastSave="0" documentId="13_ncr:1_{43399684-02DB-4A70-B58A-A655F0A60088}" xr6:coauthVersionLast="47" xr6:coauthVersionMax="47" xr10:uidLastSave="{00000000-0000-0000-0000-000000000000}"/>
  <bookViews>
    <workbookView xWindow="-108" yWindow="-108" windowWidth="23256" windowHeight="13896" xr2:uid="{811A4F2A-1037-4665-A085-AD2C84B451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8" i="1" l="1"/>
  <c r="P8" i="1"/>
  <c r="Q8" i="1"/>
  <c r="O8" i="1"/>
  <c r="N9" i="1"/>
  <c r="N8" i="1"/>
  <c r="J8" i="1"/>
  <c r="I8" i="1"/>
  <c r="F8" i="1"/>
  <c r="E8" i="1"/>
  <c r="D8" i="1"/>
  <c r="N12" i="1"/>
  <c r="N4" i="1"/>
  <c r="M7" i="1"/>
  <c r="C7" i="1"/>
  <c r="E7" i="1" s="1"/>
  <c r="F9" i="1"/>
  <c r="D7" i="1"/>
  <c r="C9" i="1"/>
  <c r="G8" i="1" l="1"/>
  <c r="C10" i="1"/>
  <c r="D9" i="1"/>
  <c r="E9" i="1"/>
  <c r="I9" i="1"/>
  <c r="J9" i="1"/>
  <c r="G7" i="1"/>
  <c r="F7" i="1"/>
  <c r="J7" i="1"/>
  <c r="C6" i="1"/>
  <c r="I7" i="1"/>
  <c r="K9" i="1"/>
  <c r="K8" i="1"/>
  <c r="P7" i="1"/>
  <c r="D10" i="1"/>
  <c r="E10" i="1"/>
  <c r="M10" i="1" l="1"/>
  <c r="N7" i="1"/>
  <c r="O7" i="1" s="1"/>
  <c r="E6" i="1"/>
  <c r="I6" i="1"/>
  <c r="C5" i="1"/>
  <c r="F6" i="1"/>
  <c r="J6" i="1"/>
  <c r="D6" i="1"/>
  <c r="G9" i="1"/>
  <c r="M9" i="1"/>
  <c r="Q9" i="1"/>
  <c r="K7" i="1"/>
  <c r="Q7" i="1" s="1"/>
  <c r="C11" i="1"/>
  <c r="J10" i="1"/>
  <c r="I10" i="1"/>
  <c r="K10" i="1" s="1"/>
  <c r="F10" i="1"/>
  <c r="G10" i="1" s="1"/>
  <c r="C4" i="1" l="1"/>
  <c r="J5" i="1"/>
  <c r="I5" i="1"/>
  <c r="F5" i="1"/>
  <c r="D5" i="1"/>
  <c r="E5" i="1"/>
  <c r="K6" i="1"/>
  <c r="Q10" i="1"/>
  <c r="Q6" i="1"/>
  <c r="M6" i="1"/>
  <c r="G6" i="1"/>
  <c r="C12" i="1"/>
  <c r="F11" i="1"/>
  <c r="J11" i="1"/>
  <c r="D11" i="1"/>
  <c r="I11" i="1"/>
  <c r="E11" i="1"/>
  <c r="N10" i="1"/>
  <c r="O10" i="1" s="1"/>
  <c r="P10" i="1"/>
  <c r="P9" i="1"/>
  <c r="O9" i="1"/>
  <c r="I4" i="1" l="1"/>
  <c r="J4" i="1"/>
  <c r="E4" i="1"/>
  <c r="D4" i="1"/>
  <c r="F4" i="1"/>
  <c r="C3" i="1"/>
  <c r="N6" i="1"/>
  <c r="O6" i="1" s="1"/>
  <c r="P6" i="1"/>
  <c r="M5" i="1"/>
  <c r="G5" i="1"/>
  <c r="C13" i="1"/>
  <c r="J12" i="1"/>
  <c r="F12" i="1"/>
  <c r="E12" i="1"/>
  <c r="D12" i="1"/>
  <c r="I12" i="1"/>
  <c r="G11" i="1"/>
  <c r="K11" i="1"/>
  <c r="Q11" i="1" s="1"/>
  <c r="M11" i="1"/>
  <c r="K5" i="1"/>
  <c r="Q5" i="1" s="1"/>
  <c r="C14" i="1" l="1"/>
  <c r="F13" i="1"/>
  <c r="I13" i="1"/>
  <c r="J13" i="1"/>
  <c r="D13" i="1"/>
  <c r="E13" i="1"/>
  <c r="P5" i="1"/>
  <c r="N5" i="1"/>
  <c r="O5" i="1" s="1"/>
  <c r="K12" i="1"/>
  <c r="G12" i="1"/>
  <c r="M12" i="1"/>
  <c r="Q12" i="1"/>
  <c r="G4" i="1"/>
  <c r="Q4" i="1"/>
  <c r="M4" i="1"/>
  <c r="P11" i="1"/>
  <c r="N11" i="1"/>
  <c r="O11" i="1" s="1"/>
  <c r="I3" i="1"/>
  <c r="J3" i="1"/>
  <c r="E3" i="1"/>
  <c r="C2" i="1"/>
  <c r="D3" i="1"/>
  <c r="F3" i="1"/>
  <c r="K4" i="1"/>
  <c r="P12" i="1" l="1"/>
  <c r="O12" i="1"/>
  <c r="G13" i="1"/>
  <c r="M13" i="1"/>
  <c r="G3" i="1"/>
  <c r="M3" i="1"/>
  <c r="I2" i="1"/>
  <c r="K2" i="1" s="1"/>
  <c r="J2" i="1"/>
  <c r="F2" i="1"/>
  <c r="D2" i="1"/>
  <c r="E2" i="1"/>
  <c r="K3" i="1"/>
  <c r="Q3" i="1" s="1"/>
  <c r="P4" i="1"/>
  <c r="O4" i="1"/>
  <c r="K13" i="1"/>
  <c r="Q13" i="1" s="1"/>
  <c r="C15" i="1"/>
  <c r="I14" i="1"/>
  <c r="J14" i="1"/>
  <c r="E14" i="1"/>
  <c r="D14" i="1"/>
  <c r="F14" i="1"/>
  <c r="Q2" i="1" l="1"/>
  <c r="M2" i="1"/>
  <c r="N2" i="1" s="1"/>
  <c r="O2" i="1" s="1"/>
  <c r="G2" i="1"/>
  <c r="G14" i="1"/>
  <c r="M14" i="1"/>
  <c r="K14" i="1"/>
  <c r="Q14" i="1" s="1"/>
  <c r="N3" i="1"/>
  <c r="O3" i="1" s="1"/>
  <c r="P3" i="1"/>
  <c r="C16" i="1"/>
  <c r="I15" i="1"/>
  <c r="K15" i="1" s="1"/>
  <c r="F15" i="1"/>
  <c r="J15" i="1"/>
  <c r="E15" i="1"/>
  <c r="D15" i="1"/>
  <c r="N13" i="1"/>
  <c r="O13" i="1" s="1"/>
  <c r="P13" i="1"/>
  <c r="C17" i="1" l="1"/>
  <c r="D16" i="1"/>
  <c r="I16" i="1"/>
  <c r="J16" i="1"/>
  <c r="E16" i="1"/>
  <c r="F16" i="1"/>
  <c r="G15" i="1"/>
  <c r="Q15" i="1"/>
  <c r="M15" i="1"/>
  <c r="N14" i="1"/>
  <c r="O14" i="1" s="1"/>
  <c r="P14" i="1"/>
  <c r="N15" i="1" l="1"/>
  <c r="O15" i="1" s="1"/>
  <c r="P15" i="1"/>
  <c r="G16" i="1"/>
  <c r="K16" i="1"/>
  <c r="Q16" i="1"/>
  <c r="M16" i="1"/>
  <c r="C18" i="1"/>
  <c r="D17" i="1"/>
  <c r="F17" i="1"/>
  <c r="J17" i="1"/>
  <c r="I17" i="1"/>
  <c r="K17" i="1" s="1"/>
  <c r="E17" i="1"/>
  <c r="G17" i="1" l="1"/>
  <c r="Q17" i="1"/>
  <c r="M17" i="1"/>
  <c r="C19" i="1"/>
  <c r="D18" i="1"/>
  <c r="I18" i="1"/>
  <c r="J18" i="1"/>
  <c r="E18" i="1"/>
  <c r="F18" i="1"/>
  <c r="G18" i="1" s="1"/>
  <c r="N16" i="1"/>
  <c r="O16" i="1" s="1"/>
  <c r="P16" i="1"/>
  <c r="K18" i="1" l="1"/>
  <c r="M18" i="1"/>
  <c r="P18" i="1" s="1"/>
  <c r="Q18" i="1"/>
  <c r="C20" i="1"/>
  <c r="E19" i="1"/>
  <c r="I19" i="1"/>
  <c r="K19" i="1" s="1"/>
  <c r="J19" i="1"/>
  <c r="D19" i="1"/>
  <c r="F19" i="1"/>
  <c r="P17" i="1"/>
  <c r="N17" i="1"/>
  <c r="O17" i="1" s="1"/>
  <c r="C21" i="1" l="1"/>
  <c r="I20" i="1"/>
  <c r="J20" i="1"/>
  <c r="D20" i="1"/>
  <c r="F20" i="1"/>
  <c r="E20" i="1"/>
  <c r="G19" i="1"/>
  <c r="M19" i="1"/>
  <c r="Q19" i="1"/>
  <c r="N18" i="1"/>
  <c r="O18" i="1" s="1"/>
  <c r="N19" i="1" l="1"/>
  <c r="O19" i="1" s="1"/>
  <c r="P19" i="1"/>
  <c r="G20" i="1"/>
  <c r="M20" i="1"/>
  <c r="K20" i="1"/>
  <c r="Q20" i="1" s="1"/>
  <c r="C22" i="1"/>
  <c r="E21" i="1"/>
  <c r="I21" i="1"/>
  <c r="K21" i="1" s="1"/>
  <c r="F21" i="1"/>
  <c r="J21" i="1"/>
  <c r="D21" i="1"/>
  <c r="G21" i="1" l="1"/>
  <c r="M21" i="1"/>
  <c r="Q21" i="1"/>
  <c r="C23" i="1"/>
  <c r="J22" i="1"/>
  <c r="I22" i="1"/>
  <c r="K22" i="1" s="1"/>
  <c r="F22" i="1"/>
  <c r="D22" i="1"/>
  <c r="E22" i="1"/>
  <c r="P20" i="1"/>
  <c r="N20" i="1"/>
  <c r="O20" i="1" s="1"/>
  <c r="G22" i="1" l="1"/>
  <c r="Q22" i="1"/>
  <c r="M22" i="1"/>
  <c r="C24" i="1"/>
  <c r="J23" i="1"/>
  <c r="D23" i="1"/>
  <c r="I23" i="1"/>
  <c r="K23" i="1" s="1"/>
  <c r="F23" i="1"/>
  <c r="E23" i="1"/>
  <c r="P21" i="1"/>
  <c r="N21" i="1"/>
  <c r="O21" i="1" s="1"/>
  <c r="M23" i="1" l="1"/>
  <c r="Q23" i="1"/>
  <c r="G23" i="1"/>
  <c r="C25" i="1"/>
  <c r="J24" i="1"/>
  <c r="D24" i="1"/>
  <c r="I24" i="1"/>
  <c r="K24" i="1" s="1"/>
  <c r="E24" i="1"/>
  <c r="F24" i="1"/>
  <c r="P22" i="1"/>
  <c r="N22" i="1"/>
  <c r="O22" i="1" s="1"/>
  <c r="G24" i="1" l="1"/>
  <c r="M24" i="1"/>
  <c r="Q24" i="1"/>
  <c r="C26" i="1"/>
  <c r="I25" i="1"/>
  <c r="F25" i="1"/>
  <c r="E25" i="1"/>
  <c r="J25" i="1"/>
  <c r="D25" i="1"/>
  <c r="N23" i="1"/>
  <c r="O23" i="1" s="1"/>
  <c r="P23" i="1"/>
  <c r="G25" i="1" l="1"/>
  <c r="M25" i="1"/>
  <c r="Q25" i="1"/>
  <c r="K25" i="1"/>
  <c r="C27" i="1"/>
  <c r="I26" i="1"/>
  <c r="F26" i="1"/>
  <c r="J26" i="1"/>
  <c r="E26" i="1"/>
  <c r="D26" i="1"/>
  <c r="N24" i="1"/>
  <c r="O24" i="1" s="1"/>
  <c r="P24" i="1"/>
  <c r="K26" i="1" l="1"/>
  <c r="Q26" i="1" s="1"/>
  <c r="C28" i="1"/>
  <c r="I27" i="1"/>
  <c r="F27" i="1"/>
  <c r="J27" i="1"/>
  <c r="E27" i="1"/>
  <c r="D27" i="1"/>
  <c r="G26" i="1"/>
  <c r="M26" i="1"/>
  <c r="N25" i="1"/>
  <c r="O25" i="1" s="1"/>
  <c r="P25" i="1"/>
  <c r="N26" i="1" l="1"/>
  <c r="O26" i="1" s="1"/>
  <c r="P26" i="1"/>
  <c r="G27" i="1"/>
  <c r="M27" i="1"/>
  <c r="C29" i="1"/>
  <c r="I28" i="1"/>
  <c r="J28" i="1"/>
  <c r="D28" i="1"/>
  <c r="E28" i="1"/>
  <c r="F28" i="1"/>
  <c r="G28" i="1" s="1"/>
  <c r="K27" i="1"/>
  <c r="Q27" i="1" s="1"/>
  <c r="Q28" i="1" l="1"/>
  <c r="M28" i="1"/>
  <c r="N27" i="1"/>
  <c r="O27" i="1" s="1"/>
  <c r="P27" i="1"/>
  <c r="K28" i="1"/>
  <c r="C30" i="1"/>
  <c r="F29" i="1"/>
  <c r="J29" i="1"/>
  <c r="E29" i="1"/>
  <c r="I29" i="1"/>
  <c r="K29" i="1" s="1"/>
  <c r="D29" i="1"/>
  <c r="G29" i="1" l="1"/>
  <c r="Q29" i="1"/>
  <c r="M29" i="1"/>
  <c r="N28" i="1"/>
  <c r="O28" i="1" s="1"/>
  <c r="P28" i="1"/>
  <c r="C31" i="1"/>
  <c r="I30" i="1"/>
  <c r="J30" i="1"/>
  <c r="E30" i="1"/>
  <c r="D30" i="1"/>
  <c r="F30" i="1"/>
  <c r="M30" i="1" l="1"/>
  <c r="Q30" i="1"/>
  <c r="G30" i="1"/>
  <c r="K30" i="1"/>
  <c r="C32" i="1"/>
  <c r="I31" i="1"/>
  <c r="J31" i="1"/>
  <c r="E31" i="1"/>
  <c r="F31" i="1"/>
  <c r="D31" i="1"/>
  <c r="P29" i="1"/>
  <c r="N29" i="1"/>
  <c r="O29" i="1" s="1"/>
  <c r="N30" i="1" l="1"/>
  <c r="O30" i="1" s="1"/>
  <c r="P30" i="1"/>
  <c r="M31" i="1"/>
  <c r="G31" i="1"/>
  <c r="K31" i="1"/>
  <c r="Q31" i="1" s="1"/>
  <c r="C33" i="1"/>
  <c r="D32" i="1"/>
  <c r="I32" i="1"/>
  <c r="F32" i="1"/>
  <c r="J32" i="1"/>
  <c r="E32" i="1"/>
  <c r="G32" i="1" s="1"/>
  <c r="M32" i="1" l="1"/>
  <c r="Q32" i="1"/>
  <c r="K32" i="1"/>
  <c r="C34" i="1"/>
  <c r="F33" i="1"/>
  <c r="I33" i="1"/>
  <c r="J33" i="1"/>
  <c r="E33" i="1"/>
  <c r="D33" i="1"/>
  <c r="N31" i="1"/>
  <c r="O31" i="1" s="1"/>
  <c r="P31" i="1"/>
  <c r="K33" i="1" l="1"/>
  <c r="Q33" i="1" s="1"/>
  <c r="G33" i="1"/>
  <c r="M33" i="1"/>
  <c r="P32" i="1"/>
  <c r="N32" i="1"/>
  <c r="O32" i="1" s="1"/>
  <c r="C35" i="1"/>
  <c r="J34" i="1"/>
  <c r="F34" i="1"/>
  <c r="I34" i="1"/>
  <c r="K34" i="1" s="1"/>
  <c r="D34" i="1"/>
  <c r="E34" i="1"/>
  <c r="Q34" i="1" l="1"/>
  <c r="M34" i="1"/>
  <c r="G34" i="1"/>
  <c r="C36" i="1"/>
  <c r="J35" i="1"/>
  <c r="D35" i="1"/>
  <c r="I35" i="1"/>
  <c r="K35" i="1" s="1"/>
  <c r="F35" i="1"/>
  <c r="E35" i="1"/>
  <c r="G35" i="1" s="1"/>
  <c r="N33" i="1"/>
  <c r="O33" i="1" s="1"/>
  <c r="P33" i="1"/>
  <c r="M35" i="1" l="1"/>
  <c r="Q35" i="1"/>
  <c r="N34" i="1"/>
  <c r="O34" i="1" s="1"/>
  <c r="P34" i="1"/>
  <c r="C37" i="1"/>
  <c r="J36" i="1"/>
  <c r="F36" i="1"/>
  <c r="I36" i="1"/>
  <c r="K36" i="1" s="1"/>
  <c r="E36" i="1"/>
  <c r="D36" i="1"/>
  <c r="P35" i="1" l="1"/>
  <c r="N35" i="1"/>
  <c r="O35" i="1" s="1"/>
  <c r="G36" i="1"/>
  <c r="M36" i="1"/>
  <c r="Q36" i="1"/>
  <c r="C38" i="1"/>
  <c r="E37" i="1"/>
  <c r="F37" i="1"/>
  <c r="I37" i="1"/>
  <c r="D37" i="1"/>
  <c r="J37" i="1"/>
  <c r="G37" i="1" l="1"/>
  <c r="M37" i="1"/>
  <c r="K37" i="1"/>
  <c r="Q37" i="1" s="1"/>
  <c r="C39" i="1"/>
  <c r="I38" i="1"/>
  <c r="E38" i="1"/>
  <c r="J38" i="1"/>
  <c r="D38" i="1"/>
  <c r="F38" i="1"/>
  <c r="P36" i="1"/>
  <c r="N36" i="1"/>
  <c r="O36" i="1" s="1"/>
  <c r="C40" i="1" l="1"/>
  <c r="E39" i="1"/>
  <c r="I39" i="1"/>
  <c r="J39" i="1"/>
  <c r="D39" i="1"/>
  <c r="F39" i="1"/>
  <c r="G38" i="1"/>
  <c r="M38" i="1"/>
  <c r="K38" i="1"/>
  <c r="Q38" i="1" s="1"/>
  <c r="P37" i="1"/>
  <c r="N37" i="1"/>
  <c r="O37" i="1" s="1"/>
  <c r="N38" i="1" l="1"/>
  <c r="O38" i="1" s="1"/>
  <c r="P38" i="1"/>
  <c r="G39" i="1"/>
  <c r="Q39" i="1"/>
  <c r="M39" i="1"/>
  <c r="P39" i="1" s="1"/>
  <c r="C41" i="1"/>
  <c r="I40" i="1"/>
  <c r="J40" i="1"/>
  <c r="E40" i="1"/>
  <c r="D40" i="1"/>
  <c r="F40" i="1"/>
  <c r="G40" i="1" s="1"/>
  <c r="N39" i="1"/>
  <c r="O39" i="1" s="1"/>
  <c r="K39" i="1"/>
  <c r="Q40" i="1" l="1"/>
  <c r="M40" i="1"/>
  <c r="K40" i="1"/>
  <c r="C42" i="1"/>
  <c r="E41" i="1"/>
  <c r="J41" i="1"/>
  <c r="D41" i="1"/>
  <c r="F41" i="1"/>
  <c r="I41" i="1"/>
  <c r="P40" i="1" l="1"/>
  <c r="N40" i="1"/>
  <c r="O40" i="1" s="1"/>
  <c r="K41" i="1"/>
  <c r="G41" i="1"/>
  <c r="Q41" i="1"/>
  <c r="M41" i="1"/>
  <c r="P41" i="1" s="1"/>
  <c r="C43" i="1"/>
  <c r="I42" i="1"/>
  <c r="E42" i="1"/>
  <c r="J42" i="1"/>
  <c r="D42" i="1"/>
  <c r="F42" i="1"/>
  <c r="M42" i="1" l="1"/>
  <c r="K42" i="1"/>
  <c r="Q42" i="1" s="1"/>
  <c r="C44" i="1"/>
  <c r="I43" i="1"/>
  <c r="J43" i="1"/>
  <c r="E43" i="1"/>
  <c r="D43" i="1"/>
  <c r="F43" i="1"/>
  <c r="N41" i="1"/>
  <c r="O41" i="1" s="1"/>
  <c r="G42" i="1"/>
  <c r="M43" i="1" l="1"/>
  <c r="G43" i="1"/>
  <c r="K43" i="1"/>
  <c r="Q43" i="1" s="1"/>
  <c r="C45" i="1"/>
  <c r="F44" i="1"/>
  <c r="I44" i="1"/>
  <c r="J44" i="1"/>
  <c r="D44" i="1"/>
  <c r="E44" i="1"/>
  <c r="G44" i="1" s="1"/>
  <c r="P42" i="1"/>
  <c r="N42" i="1"/>
  <c r="O42" i="1" s="1"/>
  <c r="M44" i="1" l="1"/>
  <c r="Q44" i="1"/>
  <c r="K44" i="1"/>
  <c r="C46" i="1"/>
  <c r="F45" i="1"/>
  <c r="I45" i="1"/>
  <c r="E45" i="1"/>
  <c r="J45" i="1"/>
  <c r="D45" i="1"/>
  <c r="N43" i="1"/>
  <c r="O43" i="1" s="1"/>
  <c r="P43" i="1"/>
  <c r="G45" i="1" l="1"/>
  <c r="M45" i="1"/>
  <c r="K45" i="1"/>
  <c r="Q45" i="1" s="1"/>
  <c r="C47" i="1"/>
  <c r="J46" i="1"/>
  <c r="F46" i="1"/>
  <c r="I46" i="1"/>
  <c r="D46" i="1"/>
  <c r="E46" i="1"/>
  <c r="N44" i="1"/>
  <c r="O44" i="1" s="1"/>
  <c r="P44" i="1"/>
  <c r="N45" i="1" l="1"/>
  <c r="O45" i="1" s="1"/>
  <c r="P45" i="1"/>
  <c r="M46" i="1"/>
  <c r="P46" i="1" s="1"/>
  <c r="G46" i="1"/>
  <c r="N46" i="1"/>
  <c r="O46" i="1" s="1"/>
  <c r="K46" i="1"/>
  <c r="Q46" i="1" s="1"/>
  <c r="C48" i="1"/>
  <c r="J47" i="1"/>
  <c r="I47" i="1"/>
  <c r="D47" i="1"/>
  <c r="F47" i="1"/>
  <c r="E47" i="1"/>
  <c r="K47" i="1" l="1"/>
  <c r="C49" i="1"/>
  <c r="J48" i="1"/>
  <c r="F48" i="1"/>
  <c r="E48" i="1"/>
  <c r="I48" i="1"/>
  <c r="K48" i="1" s="1"/>
  <c r="D48" i="1"/>
  <c r="M47" i="1"/>
  <c r="P47" i="1" s="1"/>
  <c r="Q47" i="1"/>
  <c r="G47" i="1"/>
  <c r="G48" i="1" l="1"/>
  <c r="M48" i="1"/>
  <c r="Q48" i="1"/>
  <c r="C50" i="1"/>
  <c r="D49" i="1"/>
  <c r="F49" i="1"/>
  <c r="I49" i="1"/>
  <c r="E49" i="1"/>
  <c r="J49" i="1"/>
  <c r="N47" i="1"/>
  <c r="O47" i="1" s="1"/>
  <c r="C51" i="1" l="1"/>
  <c r="I50" i="1"/>
  <c r="K50" i="1" s="1"/>
  <c r="D50" i="1"/>
  <c r="J50" i="1"/>
  <c r="E50" i="1"/>
  <c r="F50" i="1"/>
  <c r="K49" i="1"/>
  <c r="G49" i="1"/>
  <c r="M49" i="1"/>
  <c r="Q49" i="1"/>
  <c r="N48" i="1"/>
  <c r="O48" i="1" s="1"/>
  <c r="P48" i="1"/>
  <c r="G50" i="1" l="1"/>
  <c r="M50" i="1"/>
  <c r="Q50" i="1"/>
  <c r="N49" i="1"/>
  <c r="O49" i="1" s="1"/>
  <c r="P49" i="1"/>
  <c r="C52" i="1"/>
  <c r="I51" i="1"/>
  <c r="J51" i="1"/>
  <c r="F51" i="1"/>
  <c r="E51" i="1"/>
  <c r="D51" i="1"/>
  <c r="G51" i="1" l="1"/>
  <c r="M51" i="1"/>
  <c r="K51" i="1"/>
  <c r="Q51" i="1" s="1"/>
  <c r="C53" i="1"/>
  <c r="E52" i="1"/>
  <c r="I52" i="1"/>
  <c r="J52" i="1"/>
  <c r="D52" i="1"/>
  <c r="F52" i="1"/>
  <c r="G52" i="1" s="1"/>
  <c r="N50" i="1"/>
  <c r="O50" i="1" s="1"/>
  <c r="P50" i="1"/>
  <c r="M52" i="1" l="1"/>
  <c r="K52" i="1"/>
  <c r="Q52" i="1" s="1"/>
  <c r="C54" i="1"/>
  <c r="E53" i="1"/>
  <c r="D53" i="1"/>
  <c r="J53" i="1"/>
  <c r="F53" i="1"/>
  <c r="I53" i="1"/>
  <c r="K53" i="1" s="1"/>
  <c r="N51" i="1"/>
  <c r="O51" i="1" s="1"/>
  <c r="P51" i="1"/>
  <c r="G53" i="1" l="1"/>
  <c r="Q53" i="1"/>
  <c r="M53" i="1"/>
  <c r="C55" i="1"/>
  <c r="E54" i="1"/>
  <c r="I54" i="1"/>
  <c r="D54" i="1"/>
  <c r="J54" i="1"/>
  <c r="F54" i="1"/>
  <c r="P52" i="1"/>
  <c r="N52" i="1"/>
  <c r="O52" i="1" s="1"/>
  <c r="M54" i="1" l="1"/>
  <c r="G54" i="1"/>
  <c r="K54" i="1"/>
  <c r="Q54" i="1" s="1"/>
  <c r="C56" i="1"/>
  <c r="I55" i="1"/>
  <c r="J55" i="1"/>
  <c r="E55" i="1"/>
  <c r="F55" i="1"/>
  <c r="D55" i="1"/>
  <c r="N53" i="1"/>
  <c r="O53" i="1" s="1"/>
  <c r="P53" i="1"/>
  <c r="M55" i="1" l="1"/>
  <c r="P55" i="1" s="1"/>
  <c r="G55" i="1"/>
  <c r="C57" i="1"/>
  <c r="I56" i="1"/>
  <c r="D56" i="1"/>
  <c r="J56" i="1"/>
  <c r="F56" i="1"/>
  <c r="E56" i="1"/>
  <c r="N55" i="1"/>
  <c r="O55" i="1" s="1"/>
  <c r="K55" i="1"/>
  <c r="Q55" i="1" s="1"/>
  <c r="P54" i="1"/>
  <c r="N54" i="1"/>
  <c r="O54" i="1" s="1"/>
  <c r="K56" i="1" l="1"/>
  <c r="C58" i="1"/>
  <c r="E57" i="1"/>
  <c r="I57" i="1"/>
  <c r="K57" i="1" s="1"/>
  <c r="J57" i="1"/>
  <c r="F57" i="1"/>
  <c r="D57" i="1"/>
  <c r="G56" i="1"/>
  <c r="M56" i="1"/>
  <c r="Q56" i="1"/>
  <c r="N56" i="1" l="1"/>
  <c r="O56" i="1" s="1"/>
  <c r="P56" i="1"/>
  <c r="G57" i="1"/>
  <c r="M57" i="1"/>
  <c r="Q57" i="1"/>
  <c r="C59" i="1"/>
  <c r="J58" i="1"/>
  <c r="I58" i="1"/>
  <c r="K58" i="1" s="1"/>
  <c r="F58" i="1"/>
  <c r="D58" i="1"/>
  <c r="E58" i="1"/>
  <c r="G58" i="1" l="1"/>
  <c r="Q58" i="1"/>
  <c r="M58" i="1"/>
  <c r="C60" i="1"/>
  <c r="F59" i="1"/>
  <c r="J59" i="1"/>
  <c r="D59" i="1"/>
  <c r="I59" i="1"/>
  <c r="K59" i="1" s="1"/>
  <c r="E59" i="1"/>
  <c r="G59" i="1" s="1"/>
  <c r="P57" i="1"/>
  <c r="N57" i="1"/>
  <c r="O57" i="1" s="1"/>
  <c r="M59" i="1" l="1"/>
  <c r="Q59" i="1"/>
  <c r="C61" i="1"/>
  <c r="F60" i="1"/>
  <c r="J60" i="1"/>
  <c r="E60" i="1"/>
  <c r="D60" i="1"/>
  <c r="I60" i="1"/>
  <c r="K60" i="1" s="1"/>
  <c r="N58" i="1"/>
  <c r="O58" i="1" s="1"/>
  <c r="P58" i="1"/>
  <c r="N59" i="1" l="1"/>
  <c r="O59" i="1" s="1"/>
  <c r="P59" i="1"/>
  <c r="G60" i="1"/>
  <c r="M60" i="1"/>
  <c r="Q60" i="1"/>
  <c r="C62" i="1"/>
  <c r="F61" i="1"/>
  <c r="I61" i="1"/>
  <c r="E61" i="1"/>
  <c r="D61" i="1"/>
  <c r="J61" i="1"/>
  <c r="G61" i="1" l="1"/>
  <c r="M61" i="1"/>
  <c r="C63" i="1"/>
  <c r="I62" i="1"/>
  <c r="J62" i="1"/>
  <c r="E62" i="1"/>
  <c r="F62" i="1"/>
  <c r="D62" i="1"/>
  <c r="P60" i="1"/>
  <c r="N60" i="1"/>
  <c r="O60" i="1" s="1"/>
  <c r="K61" i="1"/>
  <c r="Q61" i="1" s="1"/>
  <c r="G62" i="1" l="1"/>
  <c r="M62" i="1"/>
  <c r="N61" i="1"/>
  <c r="O61" i="1" s="1"/>
  <c r="P61" i="1"/>
  <c r="K62" i="1"/>
  <c r="Q62" i="1" s="1"/>
  <c r="C64" i="1"/>
  <c r="I63" i="1"/>
  <c r="F63" i="1"/>
  <c r="J63" i="1"/>
  <c r="E63" i="1"/>
  <c r="D63" i="1"/>
  <c r="G63" i="1" l="1"/>
  <c r="Q63" i="1"/>
  <c r="M63" i="1"/>
  <c r="P63" i="1" s="1"/>
  <c r="K63" i="1"/>
  <c r="C65" i="1"/>
  <c r="D64" i="1"/>
  <c r="I64" i="1"/>
  <c r="K64" i="1" s="1"/>
  <c r="J64" i="1"/>
  <c r="E64" i="1"/>
  <c r="F64" i="1"/>
  <c r="G64" i="1" s="1"/>
  <c r="N62" i="1"/>
  <c r="O62" i="1" s="1"/>
  <c r="P62" i="1"/>
  <c r="Q64" i="1" l="1"/>
  <c r="M64" i="1"/>
  <c r="C66" i="1"/>
  <c r="D65" i="1"/>
  <c r="F65" i="1"/>
  <c r="J65" i="1"/>
  <c r="E65" i="1"/>
  <c r="I65" i="1"/>
  <c r="N63" i="1"/>
  <c r="O63" i="1" s="1"/>
  <c r="P64" i="1" l="1"/>
  <c r="N64" i="1"/>
  <c r="O64" i="1" s="1"/>
  <c r="K65" i="1"/>
  <c r="G65" i="1"/>
  <c r="Q65" i="1"/>
  <c r="M65" i="1"/>
  <c r="P65" i="1" s="1"/>
  <c r="C67" i="1"/>
  <c r="I66" i="1"/>
  <c r="J66" i="1"/>
  <c r="E66" i="1"/>
  <c r="D66" i="1"/>
  <c r="F66" i="1"/>
  <c r="M66" i="1" l="1"/>
  <c r="K66" i="1"/>
  <c r="Q66" i="1" s="1"/>
  <c r="C68" i="1"/>
  <c r="E67" i="1"/>
  <c r="I67" i="1"/>
  <c r="J67" i="1"/>
  <c r="D67" i="1"/>
  <c r="F67" i="1"/>
  <c r="N65" i="1"/>
  <c r="O65" i="1" s="1"/>
  <c r="G66" i="1"/>
  <c r="G67" i="1" l="1"/>
  <c r="M67" i="1"/>
  <c r="K67" i="1"/>
  <c r="Q67" i="1" s="1"/>
  <c r="C69" i="1"/>
  <c r="I68" i="1"/>
  <c r="D68" i="1"/>
  <c r="J68" i="1"/>
  <c r="F68" i="1"/>
  <c r="E68" i="1"/>
  <c r="G68" i="1" s="1"/>
  <c r="N66" i="1"/>
  <c r="O66" i="1" s="1"/>
  <c r="P66" i="1"/>
  <c r="M68" i="1" l="1"/>
  <c r="K68" i="1"/>
  <c r="Q68" i="1" s="1"/>
  <c r="C70" i="1"/>
  <c r="E69" i="1"/>
  <c r="I69" i="1"/>
  <c r="F69" i="1"/>
  <c r="J69" i="1"/>
  <c r="D69" i="1"/>
  <c r="N67" i="1"/>
  <c r="O67" i="1" s="1"/>
  <c r="P67" i="1"/>
  <c r="G69" i="1" l="1"/>
  <c r="M69" i="1"/>
  <c r="K69" i="1"/>
  <c r="Q69" i="1" s="1"/>
  <c r="C71" i="1"/>
  <c r="J70" i="1"/>
  <c r="I70" i="1"/>
  <c r="F70" i="1"/>
  <c r="D70" i="1"/>
  <c r="E70" i="1"/>
  <c r="N68" i="1"/>
  <c r="O68" i="1" s="1"/>
  <c r="P68" i="1"/>
  <c r="P69" i="1" l="1"/>
  <c r="N69" i="1"/>
  <c r="O69" i="1" s="1"/>
  <c r="G70" i="1"/>
  <c r="M70" i="1"/>
  <c r="N70" i="1" s="1"/>
  <c r="O70" i="1" s="1"/>
  <c r="K70" i="1"/>
  <c r="Q70" i="1" s="1"/>
  <c r="C72" i="1"/>
  <c r="J71" i="1"/>
  <c r="D71" i="1"/>
  <c r="I71" i="1"/>
  <c r="F71" i="1"/>
  <c r="E71" i="1"/>
  <c r="K71" i="1" l="1"/>
  <c r="Q71" i="1" s="1"/>
  <c r="M71" i="1"/>
  <c r="N71" i="1" s="1"/>
  <c r="O71" i="1" s="1"/>
  <c r="G71" i="1"/>
  <c r="C73" i="1"/>
  <c r="J72" i="1"/>
  <c r="E72" i="1"/>
  <c r="D72" i="1"/>
  <c r="I72" i="1"/>
  <c r="K72" i="1" s="1"/>
  <c r="F72" i="1"/>
  <c r="P70" i="1"/>
  <c r="C74" i="1" l="1"/>
  <c r="I73" i="1"/>
  <c r="F73" i="1"/>
  <c r="J73" i="1"/>
  <c r="E73" i="1"/>
  <c r="D73" i="1"/>
  <c r="G72" i="1"/>
  <c r="M72" i="1"/>
  <c r="Q72" i="1"/>
  <c r="P71" i="1"/>
  <c r="P72" i="1" l="1"/>
  <c r="N72" i="1"/>
  <c r="O72" i="1" s="1"/>
  <c r="G73" i="1"/>
  <c r="M73" i="1"/>
  <c r="P73" i="1" s="1"/>
  <c r="N73" i="1"/>
  <c r="O73" i="1" s="1"/>
  <c r="K73" i="1"/>
  <c r="Q73" i="1" s="1"/>
  <c r="C75" i="1"/>
  <c r="I74" i="1"/>
  <c r="F74" i="1"/>
  <c r="J74" i="1"/>
  <c r="E74" i="1"/>
  <c r="D74" i="1"/>
  <c r="K74" i="1" l="1"/>
  <c r="C76" i="1"/>
  <c r="I75" i="1"/>
  <c r="F75" i="1"/>
  <c r="J75" i="1"/>
  <c r="E75" i="1"/>
  <c r="D75" i="1"/>
  <c r="G74" i="1"/>
  <c r="M74" i="1"/>
  <c r="Q74" i="1"/>
  <c r="P74" i="1" l="1"/>
  <c r="N74" i="1"/>
  <c r="O74" i="1" s="1"/>
  <c r="G75" i="1"/>
  <c r="M75" i="1"/>
  <c r="K75" i="1"/>
  <c r="Q75" i="1" s="1"/>
  <c r="C77" i="1"/>
  <c r="I76" i="1"/>
  <c r="J76" i="1"/>
  <c r="E76" i="1"/>
  <c r="D76" i="1"/>
  <c r="F76" i="1"/>
  <c r="G76" i="1" s="1"/>
  <c r="M76" i="1" l="1"/>
  <c r="K76" i="1"/>
  <c r="Q76" i="1" s="1"/>
  <c r="C78" i="1"/>
  <c r="F77" i="1"/>
  <c r="J77" i="1"/>
  <c r="E77" i="1"/>
  <c r="I77" i="1"/>
  <c r="K77" i="1" s="1"/>
  <c r="D77" i="1"/>
  <c r="P75" i="1"/>
  <c r="N75" i="1"/>
  <c r="O75" i="1" s="1"/>
  <c r="G77" i="1" l="1"/>
  <c r="Q77" i="1"/>
  <c r="M77" i="1"/>
  <c r="C79" i="1"/>
  <c r="I78" i="1"/>
  <c r="J78" i="1"/>
  <c r="E78" i="1"/>
  <c r="D78" i="1"/>
  <c r="F78" i="1"/>
  <c r="N76" i="1"/>
  <c r="O76" i="1" s="1"/>
  <c r="P76" i="1"/>
  <c r="M78" i="1" l="1"/>
  <c r="G78" i="1"/>
  <c r="K78" i="1"/>
  <c r="Q78" i="1" s="1"/>
  <c r="C80" i="1"/>
  <c r="I79" i="1"/>
  <c r="J79" i="1"/>
  <c r="E79" i="1"/>
  <c r="F79" i="1"/>
  <c r="D79" i="1"/>
  <c r="N77" i="1"/>
  <c r="O77" i="1" s="1"/>
  <c r="P77" i="1"/>
  <c r="G79" i="1" l="1"/>
  <c r="M79" i="1"/>
  <c r="N79" i="1" s="1"/>
  <c r="O79" i="1" s="1"/>
  <c r="P79" i="1"/>
  <c r="K79" i="1"/>
  <c r="Q79" i="1" s="1"/>
  <c r="C81" i="1"/>
  <c r="D80" i="1"/>
  <c r="I80" i="1"/>
  <c r="J80" i="1"/>
  <c r="F80" i="1"/>
  <c r="E80" i="1"/>
  <c r="G80" i="1" s="1"/>
  <c r="P78" i="1"/>
  <c r="N78" i="1"/>
  <c r="O78" i="1" s="1"/>
  <c r="K80" i="1" l="1"/>
  <c r="M80" i="1"/>
  <c r="Q80" i="1"/>
  <c r="C82" i="1"/>
  <c r="F81" i="1"/>
  <c r="I81" i="1"/>
  <c r="J81" i="1"/>
  <c r="E81" i="1"/>
  <c r="D81" i="1"/>
  <c r="G81" i="1" l="1"/>
  <c r="M81" i="1"/>
  <c r="K81" i="1"/>
  <c r="Q81" i="1" s="1"/>
  <c r="C83" i="1"/>
  <c r="J82" i="1"/>
  <c r="F82" i="1"/>
  <c r="I82" i="1"/>
  <c r="K82" i="1" s="1"/>
  <c r="D82" i="1"/>
  <c r="E82" i="1"/>
  <c r="N80" i="1"/>
  <c r="O80" i="1" s="1"/>
  <c r="P80" i="1"/>
  <c r="G82" i="1" l="1"/>
  <c r="Q82" i="1"/>
  <c r="M82" i="1"/>
  <c r="C84" i="1"/>
  <c r="J83" i="1"/>
  <c r="D83" i="1"/>
  <c r="I83" i="1"/>
  <c r="K83" i="1" s="1"/>
  <c r="F83" i="1"/>
  <c r="E83" i="1"/>
  <c r="N81" i="1"/>
  <c r="O81" i="1" s="1"/>
  <c r="P81" i="1"/>
  <c r="G83" i="1" l="1"/>
  <c r="M83" i="1"/>
  <c r="Q83" i="1"/>
  <c r="C85" i="1"/>
  <c r="J84" i="1"/>
  <c r="F84" i="1"/>
  <c r="I84" i="1"/>
  <c r="K84" i="1" s="1"/>
  <c r="E84" i="1"/>
  <c r="D84" i="1"/>
  <c r="P82" i="1"/>
  <c r="N82" i="1"/>
  <c r="O82" i="1" s="1"/>
  <c r="G84" i="1" l="1"/>
  <c r="M84" i="1"/>
  <c r="Q84" i="1"/>
  <c r="C86" i="1"/>
  <c r="E85" i="1"/>
  <c r="F85" i="1"/>
  <c r="I85" i="1"/>
  <c r="D85" i="1"/>
  <c r="J85" i="1"/>
  <c r="P83" i="1"/>
  <c r="N83" i="1"/>
  <c r="O83" i="1" s="1"/>
  <c r="N84" i="1" l="1"/>
  <c r="O84" i="1" s="1"/>
  <c r="P84" i="1"/>
  <c r="K85" i="1"/>
  <c r="Q85" i="1" s="1"/>
  <c r="C87" i="1"/>
  <c r="I86" i="1"/>
  <c r="E86" i="1"/>
  <c r="J86" i="1"/>
  <c r="D86" i="1"/>
  <c r="F86" i="1"/>
  <c r="G85" i="1"/>
  <c r="M85" i="1"/>
  <c r="N85" i="1" l="1"/>
  <c r="O85" i="1" s="1"/>
  <c r="P85" i="1"/>
  <c r="K86" i="1"/>
  <c r="G86" i="1"/>
  <c r="M86" i="1"/>
  <c r="P86" i="1" s="1"/>
  <c r="Q86" i="1"/>
  <c r="E87" i="1"/>
  <c r="I87" i="1"/>
  <c r="C88" i="1"/>
  <c r="J87" i="1"/>
  <c r="D87" i="1"/>
  <c r="F87" i="1"/>
  <c r="G87" i="1" l="1"/>
  <c r="Q87" i="1"/>
  <c r="M87" i="1"/>
  <c r="P87" i="1" s="1"/>
  <c r="C89" i="1"/>
  <c r="I88" i="1"/>
  <c r="J88" i="1"/>
  <c r="E88" i="1"/>
  <c r="D88" i="1"/>
  <c r="F88" i="1"/>
  <c r="G88" i="1" s="1"/>
  <c r="N87" i="1"/>
  <c r="O87" i="1" s="1"/>
  <c r="K87" i="1"/>
  <c r="N86" i="1"/>
  <c r="O86" i="1" s="1"/>
  <c r="K88" i="1" l="1"/>
  <c r="C90" i="1"/>
  <c r="E89" i="1"/>
  <c r="J89" i="1"/>
  <c r="D89" i="1"/>
  <c r="F89" i="1"/>
  <c r="I89" i="1"/>
  <c r="K89" i="1" s="1"/>
  <c r="Q88" i="1"/>
  <c r="M88" i="1"/>
  <c r="N88" i="1" l="1"/>
  <c r="O88" i="1" s="1"/>
  <c r="P88" i="1"/>
  <c r="G89" i="1"/>
  <c r="Q89" i="1"/>
  <c r="M89" i="1"/>
  <c r="C91" i="1"/>
  <c r="I90" i="1"/>
  <c r="K90" i="1" s="1"/>
  <c r="E90" i="1"/>
  <c r="J90" i="1"/>
  <c r="D90" i="1"/>
  <c r="F90" i="1"/>
  <c r="N89" i="1" l="1"/>
  <c r="O89" i="1" s="1"/>
  <c r="P89" i="1"/>
  <c r="G90" i="1"/>
  <c r="M90" i="1"/>
  <c r="Q90" i="1"/>
  <c r="C92" i="1"/>
  <c r="I91" i="1"/>
  <c r="J91" i="1"/>
  <c r="F91" i="1"/>
  <c r="E91" i="1"/>
  <c r="D91" i="1"/>
  <c r="M91" i="1" l="1"/>
  <c r="G91" i="1"/>
  <c r="C93" i="1"/>
  <c r="I92" i="1"/>
  <c r="D92" i="1"/>
  <c r="J92" i="1"/>
  <c r="E92" i="1"/>
  <c r="F92" i="1"/>
  <c r="N90" i="1"/>
  <c r="O90" i="1" s="1"/>
  <c r="P90" i="1"/>
  <c r="K91" i="1"/>
  <c r="Q91" i="1" s="1"/>
  <c r="M92" i="1" l="1"/>
  <c r="G92" i="1"/>
  <c r="K92" i="1"/>
  <c r="Q92" i="1" s="1"/>
  <c r="D93" i="1"/>
  <c r="F93" i="1"/>
  <c r="I93" i="1"/>
  <c r="K93" i="1" s="1"/>
  <c r="J93" i="1"/>
  <c r="E93" i="1"/>
  <c r="N91" i="1"/>
  <c r="O91" i="1" s="1"/>
  <c r="P91" i="1"/>
  <c r="G93" i="1" l="1"/>
  <c r="M93" i="1"/>
  <c r="Q93" i="1"/>
  <c r="N92" i="1"/>
  <c r="O92" i="1" s="1"/>
  <c r="P92" i="1"/>
  <c r="P93" i="1" l="1"/>
  <c r="N93" i="1"/>
  <c r="O93" i="1" s="1"/>
</calcChain>
</file>

<file path=xl/sharedStrings.xml><?xml version="1.0" encoding="utf-8"?>
<sst xmlns="http://schemas.openxmlformats.org/spreadsheetml/2006/main" count="12" uniqueCount="12">
  <si>
    <t>Im</t>
  </si>
  <si>
    <t>Ir</t>
  </si>
  <si>
    <t>Iy</t>
  </si>
  <si>
    <t>Ib</t>
  </si>
  <si>
    <t>T1</t>
  </si>
  <si>
    <t>T2</t>
  </si>
  <si>
    <t>T0</t>
  </si>
  <si>
    <t>deltaV</t>
  </si>
  <si>
    <t>Ic=Ir-Idc</t>
  </si>
  <si>
    <t>C*deltaV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</si>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</sst>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C9C9"/>
        <bgColor indexed="64"/>
      </patternFill>
    </fill>
    <fill>
      <patternFill patternType="solid">
        <fgColor rgb="FFFFFFAB"/>
        <bgColor indexed="64"/>
      </patternFill>
    </fill>
    <fill>
      <patternFill patternType="solid">
        <fgColor rgb="FFB9DC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3" borderId="0" xfId="0" applyFont="1" applyFill="1"/>
    <xf numFmtId="0" fontId="0" fillId="4" borderId="0" xfId="0" applyFill="1"/>
    <xf numFmtId="0" fontId="0" fillId="5" borderId="0" xfId="0" applyFill="1"/>
    <xf numFmtId="0" fontId="3" fillId="0" borderId="0" xfId="0" applyFont="1"/>
    <xf numFmtId="0" fontId="3" fillId="4" borderId="0" xfId="0" applyFont="1" applyFill="1"/>
    <xf numFmtId="0" fontId="4" fillId="3" borderId="0" xfId="0" applyFont="1" applyFill="1"/>
    <xf numFmtId="0" fontId="3" fillId="5" borderId="0" xfId="0" applyFont="1" applyFill="1"/>
    <xf numFmtId="0" fontId="1" fillId="0" borderId="0" xfId="0" applyFont="1"/>
    <xf numFmtId="0" fontId="1" fillId="2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AB"/>
      <color rgb="FFB9DCFF"/>
      <color rgb="FF99CCFF"/>
      <color rgb="FFFFC9C9"/>
      <color rgb="FFFF8F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50A77-7B5A-4616-9C6C-30BB362D4E93}">
  <dimension ref="A1:Q93"/>
  <sheetViews>
    <sheetView tabSelected="1" topLeftCell="B1" zoomScale="110" zoomScaleNormal="110" workbookViewId="0">
      <selection activeCell="O11" sqref="O11"/>
    </sheetView>
  </sheetViews>
  <sheetFormatPr defaultRowHeight="14.4" x14ac:dyDescent="0.3"/>
  <cols>
    <col min="4" max="4" width="8.88671875" style="1"/>
    <col min="5" max="5" width="8.88671875" style="2"/>
    <col min="6" max="6" width="8.88671875" style="3"/>
    <col min="11" max="11" width="13.88671875" customWidth="1"/>
    <col min="12" max="12" width="15.21875" customWidth="1"/>
    <col min="13" max="13" width="15.88671875" customWidth="1"/>
    <col min="17" max="17" width="17.44140625" customWidth="1"/>
  </cols>
  <sheetData>
    <row r="1" spans="1:17" x14ac:dyDescent="0.3">
      <c r="A1" t="s">
        <v>0</v>
      </c>
      <c r="B1">
        <v>10.159000000000001</v>
      </c>
      <c r="D1" s="1" t="s">
        <v>1</v>
      </c>
      <c r="E1" s="2" t="s">
        <v>2</v>
      </c>
      <c r="F1" s="3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</row>
    <row r="2" spans="1:17" x14ac:dyDescent="0.3">
      <c r="C2">
        <f t="shared" ref="C2:C6" si="0">(C3-0.9)</f>
        <v>84.599999999999966</v>
      </c>
      <c r="D2" s="1">
        <f>(10.1595*SIN((C2*3.1415/180)))</f>
        <v>10.114370134616061</v>
      </c>
      <c r="E2" s="2">
        <f>(10.1595*SIN((C2-120)*3.1415/180))</f>
        <v>-5.8850561688112526</v>
      </c>
      <c r="F2" s="3">
        <f>(10.1595*SIN((C2-240)*3.1415/180))</f>
        <v>-4.2299436024185706</v>
      </c>
      <c r="G2">
        <f>(D2+E2+F2)</f>
        <v>-6.2963661376169711E-4</v>
      </c>
      <c r="I2">
        <f>(1.5*232.7*SQRT(2)/700)*SIN((60-C2+90)*0.01745329)*1.1547*50</f>
        <v>37.018635980719935</v>
      </c>
      <c r="J2">
        <f>(1.5*230*SQRT(2)/700)*SIN((C2-90)*0.01745329)*1.1547*50</f>
        <v>-3.7870684092838629</v>
      </c>
      <c r="K2">
        <f>(50-I2-J2)</f>
        <v>16.768432428563926</v>
      </c>
      <c r="M2">
        <f>(D2-7.148)</f>
        <v>2.9663701346160618</v>
      </c>
      <c r="N2">
        <f>M2*I2-F2*J2</f>
        <v>93.791890407659437</v>
      </c>
      <c r="O2">
        <f>N2/5</f>
        <v>18.758378081531887</v>
      </c>
      <c r="P2" t="s">
        <v>11</v>
      </c>
      <c r="Q2">
        <f>((D2*I2)-(F2*J2)-(K2*7.1428))</f>
        <v>238.62754124709912</v>
      </c>
    </row>
    <row r="3" spans="1:17" x14ac:dyDescent="0.3">
      <c r="C3">
        <f t="shared" si="0"/>
        <v>85.499999999999972</v>
      </c>
      <c r="D3" s="1">
        <f t="shared" ref="D3:D66" si="1">(10.1595*SIN((C3*3.1415/180)))</f>
        <v>10.128146561291075</v>
      </c>
      <c r="E3" s="2">
        <f t="shared" ref="E3:E66" si="2">(10.1595*SIN((C3-120)*3.1415/180))</f>
        <v>-5.7542554754829931</v>
      </c>
      <c r="F3" s="3">
        <f t="shared" ref="F3:F66" si="3">(10.1595*SIN((C3-240)*3.1415/180))</f>
        <v>-4.3745067281789227</v>
      </c>
      <c r="G3">
        <f t="shared" ref="G3:G66" si="4">(D3+E3+F3)</f>
        <v>-6.1564237084077433E-4</v>
      </c>
      <c r="I3">
        <f t="shared" ref="I3:I66" si="5">(1.5*232.7*SQRT(2)/700)*SIN((60-C3+90)*0.01745329)*1.1547*50</f>
        <v>36.747854249509317</v>
      </c>
      <c r="J3">
        <f t="shared" ref="J3:J66" si="6">(1.5*230*SQRT(2)/700)*SIN((C3-90)*0.01745329)*1.1547*50</f>
        <v>-3.1573189693390562</v>
      </c>
      <c r="K3">
        <f t="shared" ref="K3:K66" si="7">(50-I3-J3)</f>
        <v>16.409464719829739</v>
      </c>
      <c r="M3">
        <f t="shared" ref="M3:M66" si="8">(D3-7.148)</f>
        <v>2.9801465612910754</v>
      </c>
      <c r="N3">
        <f t="shared" ref="N3:N66" si="9">M3*I3-F3*J3</f>
        <v>95.702278402120172</v>
      </c>
      <c r="O3">
        <f t="shared" ref="O3:O66" si="10">N3/5</f>
        <v>19.140455680424033</v>
      </c>
      <c r="P3">
        <f t="shared" ref="P3:P66" si="11">M3*I3+J3*(-F3-7.1428)</f>
        <v>118.25437633631519</v>
      </c>
      <c r="Q3">
        <f t="shared" ref="Q3:Q66" si="12">((D3*I3)-(F3*J3)-(K3*7.1428))</f>
        <v>241.16641597681291</v>
      </c>
    </row>
    <row r="4" spans="1:17" x14ac:dyDescent="0.3">
      <c r="C4">
        <f t="shared" si="0"/>
        <v>86.399999999999977</v>
      </c>
      <c r="D4" s="1">
        <f t="shared" si="1"/>
        <v>10.139424166749528</v>
      </c>
      <c r="E4" s="2">
        <f t="shared" si="2"/>
        <v>-5.6220350894616393</v>
      </c>
      <c r="F4" s="3">
        <f t="shared" si="3"/>
        <v>-4.5179905735242247</v>
      </c>
      <c r="G4">
        <f t="shared" si="4"/>
        <v>-6.014962363360965E-4</v>
      </c>
      <c r="I4">
        <f t="shared" si="5"/>
        <v>36.468005537750741</v>
      </c>
      <c r="J4">
        <f t="shared" si="6"/>
        <v>-2.5267905084074931</v>
      </c>
      <c r="K4">
        <f t="shared" si="7"/>
        <v>16.058784970656752</v>
      </c>
      <c r="M4">
        <f t="shared" si="8"/>
        <v>2.9914241667495283</v>
      </c>
      <c r="N4">
        <f>M4*I4-F4*J4</f>
        <v>97.675257380527654</v>
      </c>
      <c r="O4">
        <f t="shared" si="10"/>
        <v>19.535051476105529</v>
      </c>
      <c r="P4">
        <f t="shared" si="11"/>
        <v>115.72361662398069</v>
      </c>
      <c r="Q4">
        <f t="shared" si="12"/>
        <v>243.64387167596288</v>
      </c>
    </row>
    <row r="5" spans="1:17" x14ac:dyDescent="0.3">
      <c r="C5">
        <f t="shared" si="0"/>
        <v>87.299999999999983</v>
      </c>
      <c r="D5" s="1">
        <f t="shared" si="1"/>
        <v>10.148200168575148</v>
      </c>
      <c r="E5" s="2">
        <f t="shared" si="2"/>
        <v>-5.4884276322247594</v>
      </c>
      <c r="F5" s="3">
        <f t="shared" si="3"/>
        <v>-4.6603597380507784</v>
      </c>
      <c r="G5">
        <f t="shared" si="4"/>
        <v>-5.8720170039006092E-4</v>
      </c>
      <c r="I5">
        <f t="shared" si="5"/>
        <v>36.179158893906433</v>
      </c>
      <c r="J5">
        <f t="shared" si="6"/>
        <v>-1.8956385999071828</v>
      </c>
      <c r="K5">
        <f t="shared" si="7"/>
        <v>15.716479706000751</v>
      </c>
      <c r="M5">
        <f t="shared" si="8"/>
        <v>3.000200168575148</v>
      </c>
      <c r="N5">
        <f t="shared" si="9"/>
        <v>99.710360803502766</v>
      </c>
      <c r="O5">
        <f t="shared" si="10"/>
        <v>19.942072160700555</v>
      </c>
      <c r="P5">
        <f t="shared" si="11"/>
        <v>113.2505281949198</v>
      </c>
      <c r="Q5">
        <f t="shared" si="12"/>
        <v>246.05931733312377</v>
      </c>
    </row>
    <row r="6" spans="1:17" x14ac:dyDescent="0.3">
      <c r="C6">
        <f t="shared" si="0"/>
        <v>88.199999999999989</v>
      </c>
      <c r="D6" s="1">
        <f t="shared" si="1"/>
        <v>10.154472401548521</v>
      </c>
      <c r="E6" s="2">
        <f t="shared" si="2"/>
        <v>-5.3534660674688022</v>
      </c>
      <c r="F6" s="3">
        <f t="shared" si="3"/>
        <v>-4.8015790963694789</v>
      </c>
      <c r="G6">
        <f t="shared" si="4"/>
        <v>-5.7276228976022026E-4</v>
      </c>
      <c r="I6">
        <f t="shared" si="5"/>
        <v>35.881385586543082</v>
      </c>
      <c r="J6">
        <f t="shared" si="6"/>
        <v>-1.2640189710824536</v>
      </c>
      <c r="K6">
        <f t="shared" si="7"/>
        <v>15.382633384539371</v>
      </c>
      <c r="M6">
        <f t="shared" si="8"/>
        <v>3.0064724015485211</v>
      </c>
      <c r="N6">
        <f t="shared" si="9"/>
        <v>101.8071084262987</v>
      </c>
      <c r="O6">
        <f t="shared" si="10"/>
        <v>20.361421685259739</v>
      </c>
      <c r="P6">
        <f t="shared" si="11"/>
        <v>110.83574313294645</v>
      </c>
      <c r="Q6">
        <f t="shared" si="12"/>
        <v>248.41217885982081</v>
      </c>
    </row>
    <row r="7" spans="1:17" x14ac:dyDescent="0.3">
      <c r="C7">
        <f>(C8-0.9)</f>
        <v>89.1</v>
      </c>
      <c r="D7" s="1">
        <f t="shared" si="1"/>
        <v>10.158239318181298</v>
      </c>
      <c r="E7" s="2">
        <f t="shared" si="2"/>
        <v>-5.2171836929762767</v>
      </c>
      <c r="F7" s="3">
        <f t="shared" si="3"/>
        <v>-4.9416138067719562</v>
      </c>
      <c r="G7">
        <f t="shared" si="4"/>
        <v>-5.5818156693465681E-4</v>
      </c>
      <c r="I7">
        <f t="shared" si="5"/>
        <v>35.574759086747385</v>
      </c>
      <c r="J7">
        <f t="shared" si="6"/>
        <v>-0.6320874645805884</v>
      </c>
      <c r="K7">
        <f t="shared" si="7"/>
        <v>15.057328377833203</v>
      </c>
      <c r="M7">
        <f>(D7-7.148)</f>
        <v>3.0102393181812985</v>
      </c>
      <c r="N7">
        <f t="shared" si="9"/>
        <v>103.96500639569548</v>
      </c>
      <c r="O7">
        <f t="shared" si="10"/>
        <v>20.793001279139098</v>
      </c>
      <c r="P7">
        <f t="shared" si="11"/>
        <v>108.47988073770172</v>
      </c>
      <c r="Q7">
        <f t="shared" si="12"/>
        <v>250.70189921057874</v>
      </c>
    </row>
    <row r="8" spans="1:17" s="4" customFormat="1" x14ac:dyDescent="0.3">
      <c r="B8" s="5">
        <v>1</v>
      </c>
      <c r="C8" s="4">
        <v>90</v>
      </c>
      <c r="D8" s="6">
        <f>(10.1595*SIN((C8*3.1415/180)))</f>
        <v>10.159499989097982</v>
      </c>
      <c r="E8" s="5">
        <f>(10.1595*SIN((C8-120)*3.1415/180))</f>
        <v>-5.0796141324005131</v>
      </c>
      <c r="F8" s="7">
        <f>(10.1595*SIN((C8-240)*3.1415/180))</f>
        <v>-5.0804293198267567</v>
      </c>
      <c r="G8" s="4">
        <f t="shared" si="4"/>
        <v>-5.4346312928732488E-4</v>
      </c>
      <c r="I8" s="8">
        <f>(1.5*232.7*SQRT(2)/700)*SIN((60-C8+90)*0.01745329)*1.1547*50</f>
        <v>35.259355049998156</v>
      </c>
      <c r="J8" s="4">
        <f>(1.5*230*SQRT(2)/700)*SIN((C8-90)*0.01745329)*1.1547*50</f>
        <v>0</v>
      </c>
      <c r="K8" s="4">
        <f t="shared" si="7"/>
        <v>14.740644950001844</v>
      </c>
      <c r="M8" s="8">
        <f>(D8-7.148)</f>
        <v>3.0114999890979828</v>
      </c>
      <c r="N8" s="8">
        <f>M8*I8-F8*J8</f>
        <v>106.18354734867135</v>
      </c>
      <c r="O8" s="4">
        <f>N8/5</f>
        <v>21.236709469734272</v>
      </c>
      <c r="P8" s="8">
        <f>M8*I8+J8*(-F8-7.1428)</f>
        <v>106.18354734867135</v>
      </c>
      <c r="Q8" s="8">
        <f>((D8*I8)-(F8*J8)-(K8*7.1428))</f>
        <v>252.92793849718498</v>
      </c>
    </row>
    <row r="9" spans="1:17" x14ac:dyDescent="0.3">
      <c r="B9" s="2">
        <v>2</v>
      </c>
      <c r="C9">
        <f t="shared" ref="C9:C67" si="13">(C8+0.9)</f>
        <v>90.9</v>
      </c>
      <c r="D9" s="1">
        <f t="shared" si="1"/>
        <v>10.158254103265239</v>
      </c>
      <c r="E9" s="2">
        <f t="shared" si="2"/>
        <v>-4.9407913269700092</v>
      </c>
      <c r="F9" s="3">
        <f t="shared" si="3"/>
        <v>-5.2179913869033845</v>
      </c>
      <c r="G9">
        <f t="shared" si="4"/>
        <v>-5.2861060815434513E-4</v>
      </c>
      <c r="I9">
        <f t="shared" si="5"/>
        <v>34.935251297499519</v>
      </c>
      <c r="J9">
        <f t="shared" si="6"/>
        <v>0.6320874645805884</v>
      </c>
      <c r="K9">
        <f t="shared" si="7"/>
        <v>14.432661237919893</v>
      </c>
      <c r="M9">
        <f t="shared" si="8"/>
        <v>3.0102541032652397</v>
      </c>
      <c r="N9">
        <f>M9*I9-F9*J9</f>
        <v>108.46221051285133</v>
      </c>
      <c r="O9">
        <f t="shared" si="10"/>
        <v>21.692442102570265</v>
      </c>
      <c r="P9">
        <f t="shared" si="11"/>
        <v>103.94733617084509</v>
      </c>
      <c r="Q9">
        <f t="shared" si="12"/>
        <v>255.08977409716368</v>
      </c>
    </row>
    <row r="10" spans="1:17" x14ac:dyDescent="0.3">
      <c r="B10" s="2">
        <v>3</v>
      </c>
      <c r="C10">
        <f t="shared" si="13"/>
        <v>91.800000000000011</v>
      </c>
      <c r="D10" s="1">
        <f t="shared" si="1"/>
        <v>10.154501968068621</v>
      </c>
      <c r="E10" s="2">
        <f t="shared" si="2"/>
        <v>-4.8007495271144434</v>
      </c>
      <c r="F10" s="3">
        <f t="shared" si="3"/>
        <v>-5.3542660686221328</v>
      </c>
      <c r="G10">
        <f t="shared" si="4"/>
        <v>-5.1362766795559622E-4</v>
      </c>
      <c r="I10">
        <f t="shared" si="5"/>
        <v>34.602527796979643</v>
      </c>
      <c r="J10">
        <f t="shared" si="6"/>
        <v>1.2640189710824536</v>
      </c>
      <c r="K10">
        <f t="shared" si="7"/>
        <v>14.133453231937903</v>
      </c>
      <c r="M10">
        <f t="shared" si="8"/>
        <v>3.0065019680686209</v>
      </c>
      <c r="N10">
        <f t="shared" si="9"/>
        <v>110.80046180872991</v>
      </c>
      <c r="O10">
        <f t="shared" si="10"/>
        <v>22.160092361745981</v>
      </c>
      <c r="P10">
        <f t="shared" si="11"/>
        <v>101.77182710208216</v>
      </c>
      <c r="Q10">
        <f t="shared" si="12"/>
        <v>257.18690075645429</v>
      </c>
    </row>
    <row r="11" spans="1:17" x14ac:dyDescent="0.3">
      <c r="B11" s="2">
        <v>4</v>
      </c>
      <c r="C11">
        <f t="shared" si="13"/>
        <v>92.700000000000017</v>
      </c>
      <c r="D11" s="1">
        <f t="shared" si="1"/>
        <v>10.14824450923674</v>
      </c>
      <c r="E11" s="2">
        <f t="shared" si="2"/>
        <v>-4.6595232840143836</v>
      </c>
      <c r="F11" s="3">
        <f t="shared" si="3"/>
        <v>-5.4892197432276433</v>
      </c>
      <c r="G11">
        <f t="shared" si="4"/>
        <v>-4.9851800528699641E-4</v>
      </c>
      <c r="I11">
        <f t="shared" si="5"/>
        <v>34.261266642959903</v>
      </c>
      <c r="J11">
        <f t="shared" si="6"/>
        <v>1.8956385999071828</v>
      </c>
      <c r="K11">
        <f t="shared" si="7"/>
        <v>13.843094757132913</v>
      </c>
      <c r="M11">
        <f t="shared" si="8"/>
        <v>3.0002445092367402</v>
      </c>
      <c r="N11">
        <f t="shared" si="9"/>
        <v>113.19775395367125</v>
      </c>
      <c r="O11">
        <f t="shared" si="10"/>
        <v>22.639550790734251</v>
      </c>
      <c r="P11">
        <f t="shared" si="11"/>
        <v>99.657586562254224</v>
      </c>
      <c r="Q11">
        <f t="shared" si="12"/>
        <v>259.21883068629973</v>
      </c>
    </row>
    <row r="12" spans="1:17" s="9" customFormat="1" x14ac:dyDescent="0.3">
      <c r="B12" s="10">
        <v>5</v>
      </c>
      <c r="C12" s="9">
        <f t="shared" si="13"/>
        <v>93.600000000000023</v>
      </c>
      <c r="D12" s="6">
        <f t="shared" si="1"/>
        <v>10.139483270612862</v>
      </c>
      <c r="E12" s="10">
        <f t="shared" si="2"/>
        <v>-4.5171474410768138</v>
      </c>
      <c r="F12" s="11">
        <f t="shared" si="3"/>
        <v>-5.62281911488407</v>
      </c>
      <c r="G12" s="9">
        <f t="shared" si="4"/>
        <v>-4.8328534802166701E-4</v>
      </c>
      <c r="I12" s="9">
        <f t="shared" si="5"/>
        <v>33.911552036499359</v>
      </c>
      <c r="J12" s="9">
        <f t="shared" si="6"/>
        <v>2.5267905084074931</v>
      </c>
      <c r="K12" s="9">
        <f t="shared" si="7"/>
        <v>13.561657455093147</v>
      </c>
      <c r="M12" s="8">
        <f t="shared" si="8"/>
        <v>2.9914832706128625</v>
      </c>
      <c r="N12" s="9">
        <f>((M12*I12)-(F12*J12))</f>
        <v>115.65352656768667</v>
      </c>
      <c r="O12" s="9">
        <f t="shared" si="10"/>
        <v>23.130705313537334</v>
      </c>
      <c r="P12" s="9">
        <f t="shared" si="11"/>
        <v>97.605167324233634</v>
      </c>
      <c r="Q12" s="8">
        <f t="shared" si="12"/>
        <v>261.18509365434477</v>
      </c>
    </row>
    <row r="13" spans="1:17" x14ac:dyDescent="0.3">
      <c r="B13" s="2">
        <v>6</v>
      </c>
      <c r="C13">
        <f t="shared" si="13"/>
        <v>94.500000000000028</v>
      </c>
      <c r="D13" s="1">
        <f t="shared" si="1"/>
        <v>10.128220413774018</v>
      </c>
      <c r="E13" s="2">
        <f t="shared" si="2"/>
        <v>-4.3736571253385392</v>
      </c>
      <c r="F13" s="3">
        <f t="shared" si="3"/>
        <v>-5.7550312218898325</v>
      </c>
      <c r="G13">
        <f t="shared" si="4"/>
        <v>-4.679334543533642E-4</v>
      </c>
      <c r="I13">
        <f t="shared" si="5"/>
        <v>33.553470264419346</v>
      </c>
      <c r="J13">
        <f t="shared" si="6"/>
        <v>3.1573189693390562</v>
      </c>
      <c r="K13">
        <f t="shared" si="7"/>
        <v>13.289210766241599</v>
      </c>
      <c r="M13">
        <f t="shared" si="8"/>
        <v>2.9802204137740187</v>
      </c>
      <c r="N13">
        <f t="shared" si="9"/>
        <v>118.16720628099335</v>
      </c>
      <c r="O13">
        <f t="shared" si="10"/>
        <v>23.633441256198672</v>
      </c>
      <c r="P13">
        <f t="shared" si="11"/>
        <v>95.615108346798351</v>
      </c>
      <c r="Q13">
        <f t="shared" si="12"/>
        <v>263.08523706995231</v>
      </c>
    </row>
    <row r="14" spans="1:17" x14ac:dyDescent="0.3">
      <c r="B14" s="2">
        <v>7</v>
      </c>
      <c r="C14">
        <f t="shared" si="13"/>
        <v>95.400000000000034</v>
      </c>
      <c r="D14" s="1">
        <f t="shared" si="1"/>
        <v>10.114458717497692</v>
      </c>
      <c r="E14" s="2">
        <f t="shared" si="2"/>
        <v>-4.2290877387996391</v>
      </c>
      <c r="F14" s="3">
        <f t="shared" si="3"/>
        <v>-5.8858234448099793</v>
      </c>
      <c r="G14">
        <f t="shared" si="4"/>
        <v>-4.5246611192606423E-4</v>
      </c>
      <c r="I14">
        <f t="shared" si="5"/>
        <v>33.187109678013513</v>
      </c>
      <c r="J14">
        <f t="shared" si="6"/>
        <v>3.7870684092838629</v>
      </c>
      <c r="K14">
        <f t="shared" si="7"/>
        <v>13.025821912702623</v>
      </c>
      <c r="M14">
        <f t="shared" si="8"/>
        <v>2.9664587174976926</v>
      </c>
      <c r="N14">
        <f t="shared" si="9"/>
        <v>120.73820684335743</v>
      </c>
      <c r="O14">
        <f t="shared" si="10"/>
        <v>24.147641368671486</v>
      </c>
      <c r="P14">
        <f t="shared" si="11"/>
        <v>93.687934609524646</v>
      </c>
      <c r="Q14">
        <f t="shared" si="12"/>
        <v>264.91882606374571</v>
      </c>
    </row>
    <row r="15" spans="1:17" x14ac:dyDescent="0.3">
      <c r="B15" s="2">
        <v>8</v>
      </c>
      <c r="C15">
        <f t="shared" si="13"/>
        <v>96.30000000000004</v>
      </c>
      <c r="D15" s="1">
        <f t="shared" si="1"/>
        <v>10.098201577076246</v>
      </c>
      <c r="E15" s="2">
        <f t="shared" si="2"/>
        <v>-4.083474949689057</v>
      </c>
      <c r="F15" s="3">
        <f t="shared" si="3"/>
        <v>-6.0151635145240228</v>
      </c>
      <c r="G15">
        <f t="shared" si="4"/>
        <v>-4.3688713683387448E-4</v>
      </c>
      <c r="I15">
        <f t="shared" si="5"/>
        <v>32.812560671248484</v>
      </c>
      <c r="J15">
        <f t="shared" si="6"/>
        <v>4.4158834470356165</v>
      </c>
      <c r="K15">
        <f t="shared" si="7"/>
        <v>12.7715558817159</v>
      </c>
      <c r="M15">
        <f t="shared" si="8"/>
        <v>2.9502015770762462</v>
      </c>
      <c r="N15">
        <f t="shared" si="9"/>
        <v>123.3659292352265</v>
      </c>
      <c r="O15">
        <f t="shared" si="10"/>
        <v>24.6731858470453</v>
      </c>
      <c r="P15">
        <f t="shared" si="11"/>
        <v>91.824156949740498</v>
      </c>
      <c r="Q15">
        <f t="shared" si="12"/>
        <v>266.68544356139034</v>
      </c>
    </row>
    <row r="16" spans="1:17" x14ac:dyDescent="0.3">
      <c r="B16" s="2">
        <v>9</v>
      </c>
      <c r="C16">
        <f t="shared" si="13"/>
        <v>97.200000000000045</v>
      </c>
      <c r="D16" s="1">
        <f t="shared" si="1"/>
        <v>10.079453003479221</v>
      </c>
      <c r="E16" s="2">
        <f t="shared" si="2"/>
        <v>-3.9368546836645275</v>
      </c>
      <c r="F16" s="3">
        <f t="shared" si="3"/>
        <v>-6.1430195201874316</v>
      </c>
      <c r="G16">
        <f t="shared" si="4"/>
        <v>-4.2120037273818411E-4</v>
      </c>
      <c r="I16">
        <f t="shared" si="5"/>
        <v>32.429915658460509</v>
      </c>
      <c r="J16">
        <f t="shared" si="6"/>
        <v>5.0436089319377135</v>
      </c>
      <c r="K16">
        <f t="shared" si="7"/>
        <v>12.526475409601778</v>
      </c>
      <c r="M16">
        <f t="shared" si="8"/>
        <v>2.9314530034792217</v>
      </c>
      <c r="N16">
        <f t="shared" si="9"/>
        <v>126.04976178065695</v>
      </c>
      <c r="O16">
        <f t="shared" si="10"/>
        <v>25.209952356131389</v>
      </c>
      <c r="P16">
        <f t="shared" si="11"/>
        <v>90.024271901612252</v>
      </c>
      <c r="Q16">
        <f t="shared" si="12"/>
        <v>268.38469035162905</v>
      </c>
    </row>
    <row r="17" spans="2:17" x14ac:dyDescent="0.3">
      <c r="B17" s="2">
        <v>10</v>
      </c>
      <c r="C17">
        <f t="shared" si="13"/>
        <v>98.100000000000051</v>
      </c>
      <c r="D17" s="1">
        <f t="shared" si="1"/>
        <v>10.058217622363763</v>
      </c>
      <c r="E17" s="2">
        <f t="shared" si="2"/>
        <v>-3.7892631149489748</v>
      </c>
      <c r="F17" s="3">
        <f t="shared" si="3"/>
        <v>-6.2693599171046728</v>
      </c>
      <c r="G17">
        <f t="shared" si="4"/>
        <v>-4.0540968988445059E-4</v>
      </c>
      <c r="I17">
        <f t="shared" si="5"/>
        <v>32.039269051553568</v>
      </c>
      <c r="J17">
        <f t="shared" si="6"/>
        <v>5.6700899821643356</v>
      </c>
      <c r="K17">
        <f t="shared" si="7"/>
        <v>12.290640966282098</v>
      </c>
      <c r="M17">
        <f t="shared" si="8"/>
        <v>2.9102176223637635</v>
      </c>
      <c r="N17">
        <f t="shared" si="9"/>
        <v>128.78908026204297</v>
      </c>
      <c r="O17">
        <f t="shared" si="10"/>
        <v>25.757816052408593</v>
      </c>
      <c r="P17">
        <f t="shared" si="11"/>
        <v>88.288761537439541</v>
      </c>
      <c r="Q17">
        <f t="shared" si="12"/>
        <v>270.01618514858808</v>
      </c>
    </row>
    <row r="18" spans="2:17" x14ac:dyDescent="0.3">
      <c r="B18" s="2">
        <v>11</v>
      </c>
      <c r="C18">
        <f t="shared" si="13"/>
        <v>99.000000000000057</v>
      </c>
      <c r="D18" s="1">
        <f t="shared" si="1"/>
        <v>10.034500672933365</v>
      </c>
      <c r="E18" s="2">
        <f t="shared" si="2"/>
        <v>-3.640736657405593</v>
      </c>
      <c r="F18" s="3">
        <f t="shared" si="3"/>
        <v>-6.3941535345119265</v>
      </c>
      <c r="G18">
        <f t="shared" si="4"/>
        <v>-3.8951898415451325E-4</v>
      </c>
      <c r="I18">
        <f t="shared" si="5"/>
        <v>31.640717236704742</v>
      </c>
      <c r="J18">
        <f t="shared" si="6"/>
        <v>6.2951720229352111</v>
      </c>
      <c r="K18">
        <f t="shared" si="7"/>
        <v>12.064110740360046</v>
      </c>
      <c r="M18">
        <f t="shared" si="8"/>
        <v>2.8865006729333658</v>
      </c>
      <c r="N18">
        <f t="shared" si="9"/>
        <v>131.58324803665437</v>
      </c>
      <c r="O18">
        <f t="shared" si="10"/>
        <v>26.316649607330874</v>
      </c>
      <c r="P18">
        <f t="shared" si="11"/>
        <v>86.618093311232727</v>
      </c>
      <c r="Q18">
        <f t="shared" si="12"/>
        <v>271.57956464837611</v>
      </c>
    </row>
    <row r="19" spans="2:17" x14ac:dyDescent="0.3">
      <c r="B19" s="2">
        <v>12</v>
      </c>
      <c r="C19">
        <f t="shared" si="13"/>
        <v>99.900000000000063</v>
      </c>
      <c r="D19" s="1">
        <f t="shared" si="1"/>
        <v>10.00830800664526</v>
      </c>
      <c r="E19" s="2">
        <f t="shared" si="2"/>
        <v>-3.4913119555538001</v>
      </c>
      <c r="F19" s="3">
        <f t="shared" si="3"/>
        <v>-6.5173695832675724</v>
      </c>
      <c r="G19">
        <f t="shared" si="4"/>
        <v>-3.7353217611268974E-4</v>
      </c>
      <c r="I19">
        <f t="shared" si="5"/>
        <v>31.234358550582257</v>
      </c>
      <c r="J19">
        <f t="shared" si="6"/>
        <v>6.9187008246546204</v>
      </c>
      <c r="K19">
        <f t="shared" si="7"/>
        <v>11.846940624763121</v>
      </c>
      <c r="M19">
        <f t="shared" si="8"/>
        <v>2.8603080066452602</v>
      </c>
      <c r="N19">
        <f t="shared" si="9"/>
        <v>134.43161615499156</v>
      </c>
      <c r="O19">
        <f t="shared" si="10"/>
        <v>26.886323230998311</v>
      </c>
      <c r="P19">
        <f t="shared" si="11"/>
        <v>85.012719904648549</v>
      </c>
      <c r="Q19">
        <f t="shared" si="12"/>
        <v>273.07448357999556</v>
      </c>
    </row>
    <row r="20" spans="2:17" x14ac:dyDescent="0.3">
      <c r="B20" s="2">
        <v>13</v>
      </c>
      <c r="C20">
        <f t="shared" si="13"/>
        <v>100.80000000000007</v>
      </c>
      <c r="D20" s="1">
        <f t="shared" si="1"/>
        <v>9.9796460857667384</v>
      </c>
      <c r="E20" s="2">
        <f t="shared" si="2"/>
        <v>-3.3410258755282833</v>
      </c>
      <c r="F20" s="3">
        <f t="shared" si="3"/>
        <v>-6.6389776634484887</v>
      </c>
      <c r="G20">
        <f t="shared" si="4"/>
        <v>-3.5745321003322061E-4</v>
      </c>
      <c r="I20">
        <f t="shared" si="5"/>
        <v>30.820293256082508</v>
      </c>
      <c r="J20">
        <f t="shared" si="6"/>
        <v>7.5405225409652239</v>
      </c>
      <c r="K20">
        <f t="shared" si="7"/>
        <v>11.639184202952269</v>
      </c>
      <c r="M20">
        <f t="shared" si="8"/>
        <v>2.8316460857667387</v>
      </c>
      <c r="N20">
        <f t="shared" si="9"/>
        <v>137.33352348096702</v>
      </c>
      <c r="O20">
        <f t="shared" si="10"/>
        <v>27.466704696193403</v>
      </c>
      <c r="P20">
        <f t="shared" si="11"/>
        <v>83.473079075360616</v>
      </c>
      <c r="Q20">
        <f t="shared" si="12"/>
        <v>274.50061475059726</v>
      </c>
    </row>
    <row r="21" spans="2:17" x14ac:dyDescent="0.3">
      <c r="B21" s="2">
        <v>14</v>
      </c>
      <c r="C21">
        <f t="shared" si="13"/>
        <v>101.70000000000007</v>
      </c>
      <c r="D21" s="1">
        <f t="shared" si="1"/>
        <v>9.9485219817807771</v>
      </c>
      <c r="E21" s="2">
        <f t="shared" si="2"/>
        <v>-3.18991549598337</v>
      </c>
      <c r="F21" s="3">
        <f t="shared" si="3"/>
        <v>-6.7589477718503295</v>
      </c>
      <c r="G21">
        <f t="shared" si="4"/>
        <v>-3.412860529223849E-4</v>
      </c>
      <c r="I21">
        <f t="shared" si="5"/>
        <v>30.398623517591616</v>
      </c>
      <c r="J21">
        <f t="shared" si="6"/>
        <v>8.1604837467073423</v>
      </c>
      <c r="K21">
        <f t="shared" si="7"/>
        <v>11.440892735701041</v>
      </c>
      <c r="M21">
        <f t="shared" si="8"/>
        <v>2.8005219817807774</v>
      </c>
      <c r="N21">
        <f t="shared" si="9"/>
        <v>140.28829681392185</v>
      </c>
      <c r="O21">
        <f t="shared" si="10"/>
        <v>28.057659362784371</v>
      </c>
      <c r="P21">
        <f t="shared" si="11"/>
        <v>81.999593507940645</v>
      </c>
      <c r="Q21">
        <f t="shared" si="12"/>
        <v>275.85764908510134</v>
      </c>
    </row>
    <row r="22" spans="2:17" x14ac:dyDescent="0.3">
      <c r="B22" s="2">
        <v>15</v>
      </c>
      <c r="C22">
        <f t="shared" si="13"/>
        <v>102.60000000000008</v>
      </c>
      <c r="D22" s="1">
        <f t="shared" si="1"/>
        <v>9.9149433736413588</v>
      </c>
      <c r="E22" s="2">
        <f t="shared" si="2"/>
        <v>-3.0380180989449634</v>
      </c>
      <c r="F22" s="3">
        <f t="shared" si="3"/>
        <v>-6.8772503093899449</v>
      </c>
      <c r="G22">
        <f t="shared" si="4"/>
        <v>-3.2503469354949743E-4</v>
      </c>
      <c r="I22">
        <f t="shared" si="5"/>
        <v>29.969453375777931</v>
      </c>
      <c r="J22">
        <f t="shared" si="6"/>
        <v>8.77843147577431</v>
      </c>
      <c r="K22">
        <f t="shared" si="7"/>
        <v>11.252115148447759</v>
      </c>
      <c r="M22">
        <f t="shared" si="8"/>
        <v>2.7669433736413591</v>
      </c>
      <c r="N22">
        <f t="shared" si="9"/>
        <v>143.2952510124897</v>
      </c>
      <c r="O22">
        <f t="shared" si="10"/>
        <v>28.659050202497941</v>
      </c>
      <c r="P22">
        <f t="shared" si="11"/>
        <v>80.59267066732896</v>
      </c>
      <c r="Q22">
        <f t="shared" si="12"/>
        <v>277.14529566021764</v>
      </c>
    </row>
    <row r="23" spans="2:17" x14ac:dyDescent="0.3">
      <c r="B23" s="2">
        <v>16</v>
      </c>
      <c r="C23">
        <f t="shared" si="13"/>
        <v>103.50000000000009</v>
      </c>
      <c r="D23" s="1">
        <f t="shared" si="1"/>
        <v>9.878918545878923</v>
      </c>
      <c r="E23" s="2">
        <f t="shared" si="2"/>
        <v>-2.8853711606123031</v>
      </c>
      <c r="F23" s="3">
        <f t="shared" si="3"/>
        <v>-6.9938560884080836</v>
      </c>
      <c r="G23">
        <f t="shared" si="4"/>
        <v>-3.0870314146369537E-4</v>
      </c>
      <c r="I23">
        <f t="shared" si="5"/>
        <v>29.532888721921552</v>
      </c>
      <c r="J23">
        <f t="shared" si="6"/>
        <v>9.3942132588545544</v>
      </c>
      <c r="K23">
        <f t="shared" si="7"/>
        <v>11.072898019223894</v>
      </c>
      <c r="M23">
        <f t="shared" si="8"/>
        <v>2.7309185458789234</v>
      </c>
      <c r="N23">
        <f t="shared" si="9"/>
        <v>146.35368912031794</v>
      </c>
      <c r="O23">
        <f t="shared" si="10"/>
        <v>29.270737824063588</v>
      </c>
      <c r="P23">
        <f t="shared" si="11"/>
        <v>79.252702654971614</v>
      </c>
      <c r="Q23">
        <f t="shared" si="12"/>
        <v>278.3632817329007</v>
      </c>
    </row>
    <row r="24" spans="2:17" x14ac:dyDescent="0.3">
      <c r="B24" s="2">
        <v>17</v>
      </c>
      <c r="C24">
        <f t="shared" si="13"/>
        <v>104.40000000000009</v>
      </c>
      <c r="D24" s="1">
        <f t="shared" si="1"/>
        <v>9.8404563865563883</v>
      </c>
      <c r="E24" s="2">
        <f t="shared" si="2"/>
        <v>-2.7320123421118203</v>
      </c>
      <c r="F24" s="3">
        <f t="shared" si="3"/>
        <v>-7.108736339870557</v>
      </c>
      <c r="G24">
        <f t="shared" si="4"/>
        <v>-2.9229542598940839E-4</v>
      </c>
      <c r="I24">
        <f t="shared" si="5"/>
        <v>29.089037271787273</v>
      </c>
      <c r="J24">
        <f t="shared" si="6"/>
        <v>10.007677161051113</v>
      </c>
      <c r="K24">
        <f t="shared" si="7"/>
        <v>10.903285567161614</v>
      </c>
      <c r="M24">
        <f t="shared" si="8"/>
        <v>2.6924563865563886</v>
      </c>
      <c r="N24">
        <f t="shared" si="9"/>
        <v>149.46290249365711</v>
      </c>
      <c r="O24">
        <f t="shared" si="10"/>
        <v>29.892580498731423</v>
      </c>
      <c r="P24">
        <f t="shared" si="11"/>
        <v>77.98006606770123</v>
      </c>
      <c r="Q24">
        <f t="shared" si="12"/>
        <v>279.51135276327057</v>
      </c>
    </row>
    <row r="25" spans="2:17" x14ac:dyDescent="0.3">
      <c r="B25" s="2">
        <v>18</v>
      </c>
      <c r="C25">
        <f t="shared" si="13"/>
        <v>105.3000000000001</v>
      </c>
      <c r="D25" s="1">
        <f t="shared" si="1"/>
        <v>9.799566385076302</v>
      </c>
      <c r="E25" s="2">
        <f t="shared" si="2"/>
        <v>-2.5779794802053626</v>
      </c>
      <c r="F25" s="3">
        <f t="shared" si="3"/>
        <v>-7.2218627204661834</v>
      </c>
      <c r="G25">
        <f t="shared" si="4"/>
        <v>-2.7581559524403332E-4</v>
      </c>
      <c r="I25">
        <f t="shared" si="5"/>
        <v>28.638008539047277</v>
      </c>
      <c r="J25">
        <f t="shared" si="6"/>
        <v>10.618671819369286</v>
      </c>
      <c r="K25">
        <f t="shared" si="7"/>
        <v>10.743319641583437</v>
      </c>
      <c r="M25">
        <f t="shared" si="8"/>
        <v>2.6515663850763023</v>
      </c>
      <c r="N25">
        <f t="shared" si="9"/>
        <v>152.62217093083373</v>
      </c>
      <c r="O25">
        <f t="shared" si="10"/>
        <v>30.524434186166747</v>
      </c>
      <c r="P25">
        <f t="shared" si="11"/>
        <v>76.775121859442791</v>
      </c>
      <c r="Q25">
        <f t="shared" si="12"/>
        <v>280.58927243204147</v>
      </c>
    </row>
    <row r="26" spans="2:17" x14ac:dyDescent="0.3">
      <c r="B26" s="2">
        <v>19</v>
      </c>
      <c r="C26">
        <f t="shared" si="13"/>
        <v>106.2000000000001</v>
      </c>
      <c r="D26" s="1">
        <f t="shared" si="1"/>
        <v>9.7562586298395981</v>
      </c>
      <c r="E26" s="2">
        <f t="shared" si="2"/>
        <v>-2.4233105779550956</v>
      </c>
      <c r="F26" s="3">
        <f t="shared" si="3"/>
        <v>-7.3332073195996488</v>
      </c>
      <c r="G26">
        <f t="shared" si="4"/>
        <v>-2.5926771514672708E-4</v>
      </c>
      <c r="I26">
        <f t="shared" si="5"/>
        <v>28.179913808260359</v>
      </c>
      <c r="J26">
        <f t="shared" si="6"/>
        <v>11.227046480063175</v>
      </c>
      <c r="K26">
        <f t="shared" si="7"/>
        <v>10.593039711676466</v>
      </c>
      <c r="M26">
        <f t="shared" si="8"/>
        <v>2.6082586298395984</v>
      </c>
      <c r="N26">
        <f t="shared" si="9"/>
        <v>155.8307628036159</v>
      </c>
      <c r="O26">
        <f t="shared" si="10"/>
        <v>31.16615256072318</v>
      </c>
      <c r="P26">
        <f t="shared" si="11"/>
        <v>75.638215205820643</v>
      </c>
      <c r="Q26">
        <f t="shared" si="12"/>
        <v>281.59682265249825</v>
      </c>
    </row>
    <row r="27" spans="2:17" x14ac:dyDescent="0.3">
      <c r="B27" s="2">
        <v>20</v>
      </c>
      <c r="C27">
        <f t="shared" si="13"/>
        <v>107.10000000000011</v>
      </c>
      <c r="D27" s="1">
        <f t="shared" si="1"/>
        <v>9.710543805756588</v>
      </c>
      <c r="E27" s="2">
        <f t="shared" si="2"/>
        <v>-2.2680437953473649</v>
      </c>
      <c r="F27" s="3">
        <f t="shared" si="3"/>
        <v>-7.4427426662776135</v>
      </c>
      <c r="G27">
        <f t="shared" si="4"/>
        <v>-2.4265586839078424E-4</v>
      </c>
      <c r="I27">
        <f t="shared" si="5"/>
        <v>27.714866107414082</v>
      </c>
      <c r="J27">
        <f t="shared" si="6"/>
        <v>11.832651035831896</v>
      </c>
      <c r="K27">
        <f t="shared" si="7"/>
        <v>10.452482856754022</v>
      </c>
      <c r="M27">
        <f t="shared" si="8"/>
        <v>2.5625438057565884</v>
      </c>
      <c r="N27">
        <f t="shared" si="9"/>
        <v>159.0879351904872</v>
      </c>
      <c r="O27">
        <f t="shared" si="10"/>
        <v>31.817587038097439</v>
      </c>
      <c r="P27">
        <f t="shared" si="11"/>
        <v>74.569675371747152</v>
      </c>
      <c r="Q27">
        <f t="shared" si="12"/>
        <v>282.53380357706044</v>
      </c>
    </row>
    <row r="28" spans="2:17" x14ac:dyDescent="0.3">
      <c r="B28" s="2">
        <v>21</v>
      </c>
      <c r="C28">
        <f t="shared" si="13"/>
        <v>108.00000000000011</v>
      </c>
      <c r="D28" s="1">
        <f t="shared" si="1"/>
        <v>9.6624331916107753</v>
      </c>
      <c r="E28" s="2">
        <f t="shared" si="2"/>
        <v>-2.1122174398778464</v>
      </c>
      <c r="F28" s="3">
        <f t="shared" si="3"/>
        <v>-7.5504417358863867</v>
      </c>
      <c r="G28">
        <f t="shared" si="4"/>
        <v>-2.2598415345775891E-4</v>
      </c>
      <c r="I28">
        <f t="shared" si="5"/>
        <v>27.242980180036845</v>
      </c>
      <c r="J28">
        <f t="shared" si="6"/>
        <v>12.435336062856326</v>
      </c>
      <c r="K28">
        <f t="shared" si="7"/>
        <v>10.321683757106829</v>
      </c>
      <c r="M28">
        <f t="shared" si="8"/>
        <v>2.5144331916107756</v>
      </c>
      <c r="N28">
        <f t="shared" si="9"/>
        <v>162.39293401184264</v>
      </c>
      <c r="O28">
        <f t="shared" si="10"/>
        <v>32.478586802368525</v>
      </c>
      <c r="P28">
        <f t="shared" si="11"/>
        <v>73.569815582072479</v>
      </c>
      <c r="Q28">
        <f t="shared" si="12"/>
        <v>283.40003359848333</v>
      </c>
    </row>
    <row r="29" spans="2:17" x14ac:dyDescent="0.3">
      <c r="B29" s="2">
        <v>22</v>
      </c>
      <c r="C29">
        <f t="shared" si="13"/>
        <v>108.90000000000012</v>
      </c>
      <c r="D29" s="1">
        <f t="shared" si="1"/>
        <v>9.6119386572761396</v>
      </c>
      <c r="E29" s="2">
        <f t="shared" si="2"/>
        <v>-1.9558699571003044</v>
      </c>
      <c r="F29" s="3">
        <f t="shared" si="3"/>
        <v>-7.656277956859447</v>
      </c>
      <c r="G29">
        <f t="shared" si="4"/>
        <v>-2.0925668361204686E-4</v>
      </c>
      <c r="I29">
        <f t="shared" si="5"/>
        <v>26.764372456886619</v>
      </c>
      <c r="J29">
        <f t="shared" si="6"/>
        <v>13.03495285766715</v>
      </c>
      <c r="K29">
        <f t="shared" si="7"/>
        <v>10.200674685446231</v>
      </c>
      <c r="M29">
        <f t="shared" si="8"/>
        <v>2.4639386572761399</v>
      </c>
      <c r="N29">
        <f t="shared" si="9"/>
        <v>165.74499416711879</v>
      </c>
      <c r="O29">
        <f t="shared" si="10"/>
        <v>33.148998833423761</v>
      </c>
      <c r="P29">
        <f t="shared" si="11"/>
        <v>72.638932895373856</v>
      </c>
      <c r="Q29">
        <f t="shared" si="12"/>
        <v>284.19534934573898</v>
      </c>
    </row>
    <row r="30" spans="2:17" x14ac:dyDescent="0.3">
      <c r="B30" s="2">
        <v>23</v>
      </c>
      <c r="C30">
        <f t="shared" si="13"/>
        <v>109.80000000000013</v>
      </c>
      <c r="D30" s="1">
        <f t="shared" si="1"/>
        <v>9.5590726607886083</v>
      </c>
      <c r="E30" s="2">
        <f t="shared" si="2"/>
        <v>-1.7990399211412835</v>
      </c>
      <c r="F30" s="3">
        <f t="shared" si="3"/>
        <v>-7.7602252172331756</v>
      </c>
      <c r="G30">
        <f t="shared" si="4"/>
        <v>-1.9247758585105856E-4</v>
      </c>
      <c r="I30">
        <f t="shared" si="5"/>
        <v>26.279161027223431</v>
      </c>
      <c r="J30">
        <f t="shared" si="6"/>
        <v>13.631353473835231</v>
      </c>
      <c r="K30">
        <f t="shared" si="7"/>
        <v>10.089485498941338</v>
      </c>
      <c r="M30">
        <f t="shared" si="8"/>
        <v>2.4110726607886086</v>
      </c>
      <c r="N30">
        <f t="shared" si="9"/>
        <v>169.14333967387512</v>
      </c>
      <c r="O30">
        <f t="shared" si="10"/>
        <v>33.828667934775027</v>
      </c>
      <c r="P30">
        <f t="shared" si="11"/>
        <v>71.777308080964815</v>
      </c>
      <c r="Q30">
        <f t="shared" si="12"/>
        <v>284.91960567463002</v>
      </c>
    </row>
    <row r="31" spans="2:17" x14ac:dyDescent="0.3">
      <c r="B31" s="2">
        <v>24</v>
      </c>
      <c r="C31">
        <f t="shared" si="13"/>
        <v>110.70000000000013</v>
      </c>
      <c r="D31" s="1">
        <f t="shared" si="1"/>
        <v>9.5038482452723958</v>
      </c>
      <c r="E31" s="2">
        <f t="shared" si="2"/>
        <v>-1.6417660251830826</v>
      </c>
      <c r="F31" s="3">
        <f t="shared" si="3"/>
        <v>-7.8622578710892412</v>
      </c>
      <c r="G31">
        <f t="shared" si="4"/>
        <v>-1.7565099992822297E-4</v>
      </c>
      <c r="I31">
        <f t="shared" si="5"/>
        <v>25.787465609672612</v>
      </c>
      <c r="J31">
        <f t="shared" si="6"/>
        <v>14.224390758475153</v>
      </c>
      <c r="K31">
        <f t="shared" si="7"/>
        <v>9.9881436318522354</v>
      </c>
      <c r="M31">
        <f t="shared" si="8"/>
        <v>2.3558482452723961</v>
      </c>
      <c r="N31">
        <f t="shared" si="9"/>
        <v>172.58718380883982</v>
      </c>
      <c r="O31">
        <f t="shared" si="10"/>
        <v>34.517436761767968</v>
      </c>
      <c r="P31">
        <f t="shared" si="11"/>
        <v>70.985205499203488</v>
      </c>
      <c r="Q31">
        <f t="shared" si="12"/>
        <v>285.57267565318551</v>
      </c>
    </row>
    <row r="32" spans="2:17" x14ac:dyDescent="0.3">
      <c r="B32" s="2">
        <v>25</v>
      </c>
      <c r="C32">
        <f t="shared" si="13"/>
        <v>111.60000000000014</v>
      </c>
      <c r="D32" s="1">
        <f t="shared" si="1"/>
        <v>9.4462790357219983</v>
      </c>
      <c r="E32" s="2">
        <f t="shared" si="2"/>
        <v>-1.4840870719173545</v>
      </c>
      <c r="F32" s="3">
        <f t="shared" si="3"/>
        <v>-7.9623507448819497</v>
      </c>
      <c r="G32">
        <f t="shared" si="4"/>
        <v>-1.5878107730582514E-4</v>
      </c>
      <c r="I32">
        <f t="shared" si="5"/>
        <v>25.289407522686002</v>
      </c>
      <c r="J32">
        <f t="shared" si="6"/>
        <v>14.813918388552993</v>
      </c>
      <c r="K32">
        <f t="shared" si="7"/>
        <v>9.8966740887610047</v>
      </c>
      <c r="M32">
        <f t="shared" si="8"/>
        <v>2.2982790357219987</v>
      </c>
      <c r="N32">
        <f t="shared" si="9"/>
        <v>176.07572925093478</v>
      </c>
      <c r="O32">
        <f t="shared" si="10"/>
        <v>35.215145850186957</v>
      </c>
      <c r="P32">
        <f t="shared" si="11"/>
        <v>70.262872985178461</v>
      </c>
      <c r="Q32">
        <f t="shared" si="12"/>
        <v>286.15445054189217</v>
      </c>
    </row>
    <row r="33" spans="2:17" x14ac:dyDescent="0.3">
      <c r="B33" s="2">
        <v>26</v>
      </c>
      <c r="C33">
        <f t="shared" si="13"/>
        <v>112.50000000000014</v>
      </c>
      <c r="D33" s="1">
        <f t="shared" si="1"/>
        <v>9.3863792356406321</v>
      </c>
      <c r="E33" s="2">
        <f t="shared" si="2"/>
        <v>-1.3260419639716865</v>
      </c>
      <c r="F33" s="3">
        <f t="shared" si="3"/>
        <v>-8.0604791436490828</v>
      </c>
      <c r="G33">
        <f t="shared" si="4"/>
        <v>-1.4187198013715374E-4</v>
      </c>
      <c r="I33">
        <f t="shared" si="5"/>
        <v>24.78510965460849</v>
      </c>
      <c r="J33">
        <f t="shared" si="6"/>
        <v>15.399790906989319</v>
      </c>
      <c r="K33">
        <f t="shared" si="7"/>
        <v>9.815099438402191</v>
      </c>
      <c r="M33">
        <f t="shared" si="8"/>
        <v>2.2383792356406325</v>
      </c>
      <c r="N33">
        <f t="shared" si="9"/>
        <v>179.60816822629602</v>
      </c>
      <c r="O33">
        <f t="shared" si="10"/>
        <v>35.921633645259206</v>
      </c>
      <c r="P33">
        <f t="shared" si="11"/>
        <v>69.610541735852692</v>
      </c>
      <c r="Q33">
        <f t="shared" si="12"/>
        <v>286.6648397688183</v>
      </c>
    </row>
    <row r="34" spans="2:17" x14ac:dyDescent="0.3">
      <c r="B34" s="2">
        <v>27</v>
      </c>
      <c r="C34">
        <f t="shared" si="13"/>
        <v>113.40000000000015</v>
      </c>
      <c r="D34" s="1">
        <f t="shared" si="1"/>
        <v>9.3241636235359326</v>
      </c>
      <c r="E34" s="2">
        <f t="shared" si="2"/>
        <v>-1.1676696943115263</v>
      </c>
      <c r="F34" s="3">
        <f t="shared" si="3"/>
        <v>-8.1566188571046556</v>
      </c>
      <c r="G34">
        <f t="shared" si="4"/>
        <v>-1.2492788024864865E-4</v>
      </c>
      <c r="I34">
        <f t="shared" si="5"/>
        <v>24.274696433357125</v>
      </c>
      <c r="J34">
        <f t="shared" si="6"/>
        <v>15.981863758548547</v>
      </c>
      <c r="K34">
        <f t="shared" si="7"/>
        <v>9.7434398080943279</v>
      </c>
      <c r="M34">
        <f t="shared" si="8"/>
        <v>2.176163623535933</v>
      </c>
      <c r="N34">
        <f t="shared" si="9"/>
        <v>183.18368265530381</v>
      </c>
      <c r="O34">
        <f t="shared" si="10"/>
        <v>36.636736531060762</v>
      </c>
      <c r="P34">
        <f t="shared" si="11"/>
        <v>69.028426200743226</v>
      </c>
      <c r="Q34">
        <f t="shared" si="12"/>
        <v>287.10377089968438</v>
      </c>
    </row>
    <row r="35" spans="2:17" x14ac:dyDescent="0.3">
      <c r="B35" s="2">
        <v>28</v>
      </c>
      <c r="C35">
        <f t="shared" si="13"/>
        <v>114.30000000000015</v>
      </c>
      <c r="D35" s="1">
        <f t="shared" si="1"/>
        <v>9.2596475492738008</v>
      </c>
      <c r="E35" s="2">
        <f t="shared" si="2"/>
        <v>-1.0090093366198174</v>
      </c>
      <c r="F35" s="3">
        <f t="shared" si="3"/>
        <v>-8.2507461656120746</v>
      </c>
      <c r="G35">
        <f t="shared" si="4"/>
        <v>-1.0795295809096217E-4</v>
      </c>
      <c r="I35">
        <f t="shared" si="5"/>
        <v>23.758293795720402</v>
      </c>
      <c r="J35">
        <f t="shared" si="6"/>
        <v>16.559993325505772</v>
      </c>
      <c r="K35">
        <f t="shared" si="7"/>
        <v>9.6817128787738262</v>
      </c>
      <c r="M35">
        <f t="shared" si="8"/>
        <v>2.1116475492738012</v>
      </c>
      <c r="N35">
        <f t="shared" si="9"/>
        <v>186.80144430163824</v>
      </c>
      <c r="O35">
        <f t="shared" si="10"/>
        <v>37.36028886032765</v>
      </c>
      <c r="P35">
        <f t="shared" si="11"/>
        <v>68.516723976215602</v>
      </c>
      <c r="Q35">
        <f t="shared" si="12"/>
        <v>287.47118960294199</v>
      </c>
    </row>
    <row r="36" spans="2:17" x14ac:dyDescent="0.3">
      <c r="B36" s="2">
        <v>29</v>
      </c>
      <c r="C36">
        <f t="shared" si="13"/>
        <v>115.20000000000016</v>
      </c>
      <c r="D36" s="1">
        <f t="shared" si="1"/>
        <v>9.192846930291271</v>
      </c>
      <c r="E36" s="2">
        <f t="shared" si="2"/>
        <v>-0.85010003565672143</v>
      </c>
      <c r="F36" s="3">
        <f t="shared" si="3"/>
        <v>-8.3428378460362786</v>
      </c>
      <c r="G36">
        <f t="shared" si="4"/>
        <v>-9.0951401729100212E-5</v>
      </c>
      <c r="I36">
        <f t="shared" si="5"/>
        <v>23.236029156285266</v>
      </c>
      <c r="J36">
        <f t="shared" si="6"/>
        <v>17.134036963082274</v>
      </c>
      <c r="K36">
        <f t="shared" si="7"/>
        <v>9.6299338806324606</v>
      </c>
      <c r="M36">
        <f t="shared" si="8"/>
        <v>2.0448469302912713</v>
      </c>
      <c r="N36">
        <f t="shared" si="9"/>
        <v>190.46061492337569</v>
      </c>
      <c r="O36">
        <f t="shared" si="10"/>
        <v>38.092122984675136</v>
      </c>
      <c r="P36">
        <f t="shared" si="11"/>
        <v>68.075615703471641</v>
      </c>
      <c r="Q36">
        <f t="shared" si="12"/>
        <v>287.7670596099212</v>
      </c>
    </row>
    <row r="37" spans="2:17" x14ac:dyDescent="0.3">
      <c r="B37" s="2">
        <v>30</v>
      </c>
      <c r="C37">
        <f t="shared" si="13"/>
        <v>116.10000000000016</v>
      </c>
      <c r="D37" s="1">
        <f t="shared" si="1"/>
        <v>9.1237782476693603</v>
      </c>
      <c r="E37" s="2">
        <f t="shared" si="2"/>
        <v>-0.69098099760180487</v>
      </c>
      <c r="F37" s="3">
        <f t="shared" si="3"/>
        <v>-8.4328711774733502</v>
      </c>
      <c r="G37">
        <f t="shared" si="4"/>
        <v>-7.3927405795259915E-5</v>
      </c>
      <c r="I37">
        <f t="shared" si="5"/>
        <v>22.708031375999475</v>
      </c>
      <c r="J37">
        <f t="shared" si="6"/>
        <v>17.703853034640975</v>
      </c>
      <c r="K37">
        <f t="shared" si="7"/>
        <v>9.5881155893595498</v>
      </c>
      <c r="M37">
        <f t="shared" si="8"/>
        <v>1.9757782476693606</v>
      </c>
      <c r="N37">
        <f t="shared" si="9"/>
        <v>194.16034642614107</v>
      </c>
      <c r="O37">
        <f t="shared" si="10"/>
        <v>38.832069285228215</v>
      </c>
      <c r="P37">
        <f t="shared" si="11"/>
        <v>67.705264970307525</v>
      </c>
      <c r="Q37">
        <f t="shared" si="12"/>
        <v>287.99136267010795</v>
      </c>
    </row>
    <row r="38" spans="2:17" x14ac:dyDescent="0.3">
      <c r="B38" s="2">
        <v>31</v>
      </c>
      <c r="C38">
        <f t="shared" si="13"/>
        <v>117.00000000000017</v>
      </c>
      <c r="D38" s="1">
        <f t="shared" si="1"/>
        <v>9.0524585420668373</v>
      </c>
      <c r="E38" s="2">
        <f t="shared" si="2"/>
        <v>-0.53169148038107072</v>
      </c>
      <c r="F38" s="3">
        <f t="shared" si="3"/>
        <v>-8.5208239468562166</v>
      </c>
      <c r="G38">
        <f t="shared" si="4"/>
        <v>-5.6885170449660905E-5</v>
      </c>
      <c r="I38">
        <f t="shared" si="5"/>
        <v>22.174430730377097</v>
      </c>
      <c r="J38">
        <f t="shared" si="6"/>
        <v>18.269300946633166</v>
      </c>
      <c r="K38">
        <f t="shared" si="7"/>
        <v>9.5562683229897374</v>
      </c>
      <c r="M38">
        <f t="shared" si="8"/>
        <v>1.9044585420668376</v>
      </c>
      <c r="N38">
        <f t="shared" si="9"/>
        <v>197.89978101833088</v>
      </c>
      <c r="O38">
        <f t="shared" si="10"/>
        <v>39.579956203666178</v>
      </c>
      <c r="P38">
        <f t="shared" si="11"/>
        <v>67.405818216719496</v>
      </c>
      <c r="Q38">
        <f t="shared" si="12"/>
        <v>288.1440985016153</v>
      </c>
    </row>
    <row r="39" spans="2:17" x14ac:dyDescent="0.3">
      <c r="B39" s="2">
        <v>32</v>
      </c>
      <c r="C39">
        <f t="shared" si="13"/>
        <v>117.90000000000018</v>
      </c>
      <c r="D39" s="1">
        <f t="shared" si="1"/>
        <v>8.9789054095159493</v>
      </c>
      <c r="E39" s="2">
        <f t="shared" si="2"/>
        <v>-0.37227078398122393</v>
      </c>
      <c r="F39" s="3">
        <f t="shared" si="3"/>
        <v>-8.6066744544350975</v>
      </c>
      <c r="G39">
        <f t="shared" si="4"/>
        <v>-3.9828900371574605E-5</v>
      </c>
      <c r="I39">
        <f t="shared" si="5"/>
        <v>21.635358877354982</v>
      </c>
      <c r="J39">
        <f t="shared" si="6"/>
        <v>18.830241183287818</v>
      </c>
      <c r="K39">
        <f t="shared" si="7"/>
        <v>9.5343999393572005</v>
      </c>
      <c r="M39">
        <f t="shared" si="8"/>
        <v>1.8309054095159496</v>
      </c>
      <c r="N39">
        <f t="shared" si="9"/>
        <v>201.67805136842316</v>
      </c>
      <c r="O39">
        <f t="shared" si="10"/>
        <v>40.33561027368463</v>
      </c>
      <c r="P39">
        <f t="shared" si="11"/>
        <v>67.177404644434915</v>
      </c>
      <c r="Q39">
        <f t="shared" si="12"/>
        <v>288.22528473691597</v>
      </c>
    </row>
    <row r="40" spans="2:17" x14ac:dyDescent="0.3">
      <c r="B40" s="2">
        <v>33</v>
      </c>
      <c r="C40">
        <f t="shared" si="13"/>
        <v>118.80000000000018</v>
      </c>
      <c r="D40" s="1">
        <f t="shared" si="1"/>
        <v>8.9031369970811252</v>
      </c>
      <c r="E40" s="2">
        <f t="shared" si="2"/>
        <v>-0.21275824075356048</v>
      </c>
      <c r="F40" s="3">
        <f t="shared" si="3"/>
        <v>-8.6904015191312549</v>
      </c>
      <c r="G40">
        <f t="shared" si="4"/>
        <v>-2.2762803689957423E-5</v>
      </c>
      <c r="I40">
        <f t="shared" si="5"/>
        <v>21.090948824808159</v>
      </c>
      <c r="J40">
        <f t="shared" si="6"/>
        <v>19.386535341035039</v>
      </c>
      <c r="K40">
        <f t="shared" si="7"/>
        <v>9.5225158341568026</v>
      </c>
      <c r="M40">
        <f t="shared" si="8"/>
        <v>1.7551369970811255</v>
      </c>
      <c r="N40">
        <f t="shared" si="9"/>
        <v>205.49428076438812</v>
      </c>
      <c r="O40">
        <f t="shared" si="10"/>
        <v>41.098856152877623</v>
      </c>
      <c r="P40">
        <f t="shared" si="11"/>
        <v>67.020136130443063</v>
      </c>
      <c r="Q40">
        <f t="shared" si="12"/>
        <v>288.23495686390163</v>
      </c>
    </row>
    <row r="41" spans="2:17" x14ac:dyDescent="0.3">
      <c r="B41" s="2">
        <v>34</v>
      </c>
      <c r="C41">
        <f t="shared" si="13"/>
        <v>119.70000000000019</v>
      </c>
      <c r="D41" s="1">
        <f t="shared" si="1"/>
        <v>8.8251719983817161</v>
      </c>
      <c r="E41" s="2">
        <f t="shared" si="2"/>
        <v>-5.3193205709869663E-2</v>
      </c>
      <c r="F41" s="3">
        <f t="shared" si="3"/>
        <v>-8.7719844837627967</v>
      </c>
      <c r="G41">
        <f t="shared" si="4"/>
        <v>-5.6910909496110662E-6</v>
      </c>
      <c r="I41">
        <f t="shared" si="5"/>
        <v>20.541334897732121</v>
      </c>
      <c r="J41">
        <f t="shared" si="6"/>
        <v>19.938046162655038</v>
      </c>
      <c r="K41">
        <f t="shared" si="7"/>
        <v>9.5206189396128416</v>
      </c>
      <c r="M41">
        <f t="shared" si="8"/>
        <v>1.6771719983817164</v>
      </c>
      <c r="N41">
        <f t="shared" si="9"/>
        <v>209.34758327521382</v>
      </c>
      <c r="O41">
        <f t="shared" si="10"/>
        <v>41.869516655042766</v>
      </c>
      <c r="P41">
        <f t="shared" si="11"/>
        <v>66.934107144601427</v>
      </c>
      <c r="Q41">
        <f t="shared" si="12"/>
        <v>288.17316816233642</v>
      </c>
    </row>
    <row r="42" spans="2:17" x14ac:dyDescent="0.3">
      <c r="B42" s="2">
        <v>35</v>
      </c>
      <c r="C42">
        <f t="shared" si="13"/>
        <v>120.60000000000019</v>
      </c>
      <c r="D42" s="1">
        <f t="shared" si="1"/>
        <v>8.7450296489798944</v>
      </c>
      <c r="E42" s="2">
        <f t="shared" si="2"/>
        <v>0.10638495318725283</v>
      </c>
      <c r="F42" s="3">
        <f t="shared" si="3"/>
        <v>-8.8514032201412558</v>
      </c>
      <c r="G42">
        <f t="shared" si="4"/>
        <v>1.1382025890682712E-5</v>
      </c>
      <c r="I42">
        <f t="shared" si="5"/>
        <v>19.986652705100155</v>
      </c>
      <c r="J42">
        <f t="shared" si="6"/>
        <v>20.484637571144315</v>
      </c>
      <c r="K42">
        <f t="shared" si="7"/>
        <v>9.5287097237555294</v>
      </c>
      <c r="M42">
        <f t="shared" si="8"/>
        <v>1.5970296489798947</v>
      </c>
      <c r="N42">
        <f t="shared" si="9"/>
        <v>213.2370639145625</v>
      </c>
      <c r="O42">
        <f t="shared" si="10"/>
        <v>42.647412782912497</v>
      </c>
      <c r="P42">
        <f t="shared" si="11"/>
        <v>66.919394671392894</v>
      </c>
      <c r="Q42">
        <f t="shared" si="12"/>
        <v>288.03998963577737</v>
      </c>
    </row>
    <row r="43" spans="2:17" x14ac:dyDescent="0.3">
      <c r="B43" s="2">
        <v>36</v>
      </c>
      <c r="C43">
        <f t="shared" si="13"/>
        <v>121.5000000000002</v>
      </c>
      <c r="D43" s="1">
        <f t="shared" si="1"/>
        <v>8.662729721634852</v>
      </c>
      <c r="E43" s="2">
        <f t="shared" si="2"/>
        <v>0.26593686473728784</v>
      </c>
      <c r="F43" s="3">
        <f t="shared" si="3"/>
        <v>-8.928638134037584</v>
      </c>
      <c r="G43">
        <f t="shared" si="4"/>
        <v>2.8452334555950642E-5</v>
      </c>
      <c r="I43">
        <f t="shared" si="5"/>
        <v>19.4270391064039</v>
      </c>
      <c r="J43">
        <f t="shared" si="6"/>
        <v>21.026174703290586</v>
      </c>
      <c r="K43">
        <f t="shared" si="7"/>
        <v>9.5467861903055145</v>
      </c>
      <c r="M43">
        <f t="shared" si="8"/>
        <v>1.5147297216348523</v>
      </c>
      <c r="N43">
        <f t="shared" si="9"/>
        <v>217.16181880656927</v>
      </c>
      <c r="O43">
        <f t="shared" si="10"/>
        <v>43.432363761313852</v>
      </c>
      <c r="P43">
        <f t="shared" si="11"/>
        <v>66.976058135905276</v>
      </c>
      <c r="Q43">
        <f t="shared" si="12"/>
        <v>287.83550993903009</v>
      </c>
    </row>
    <row r="44" spans="2:17" x14ac:dyDescent="0.3">
      <c r="B44" s="2">
        <v>37</v>
      </c>
      <c r="C44">
        <f t="shared" si="13"/>
        <v>122.4000000000002</v>
      </c>
      <c r="D44" s="1">
        <f t="shared" si="1"/>
        <v>8.5782925214244585</v>
      </c>
      <c r="E44" s="2">
        <f t="shared" si="2"/>
        <v>0.42542316421547433</v>
      </c>
      <c r="F44" s="3">
        <f t="shared" si="3"/>
        <v>-9.0036701700164858</v>
      </c>
      <c r="G44">
        <f t="shared" si="4"/>
        <v>4.5515623446235054E-5</v>
      </c>
      <c r="I44">
        <f t="shared" si="5"/>
        <v>18.862632177885281</v>
      </c>
      <c r="J44">
        <f t="shared" si="6"/>
        <v>21.562523942948278</v>
      </c>
      <c r="K44">
        <f t="shared" si="7"/>
        <v>9.5748438791664405</v>
      </c>
      <c r="M44">
        <f t="shared" si="8"/>
        <v>1.4302925214244588</v>
      </c>
      <c r="N44">
        <f t="shared" si="9"/>
        <v>221.12093535379933</v>
      </c>
      <c r="O44">
        <f t="shared" si="10"/>
        <v>44.224187070759868</v>
      </c>
      <c r="P44">
        <f t="shared" si="11"/>
        <v>67.104139334108382</v>
      </c>
      <c r="Q44">
        <f t="shared" si="12"/>
        <v>287.5598353012133</v>
      </c>
    </row>
    <row r="45" spans="2:17" x14ac:dyDescent="0.3">
      <c r="B45" s="2">
        <v>38</v>
      </c>
      <c r="C45">
        <f t="shared" si="13"/>
        <v>123.30000000000021</v>
      </c>
      <c r="D45" s="1">
        <f t="shared" si="1"/>
        <v>8.4917388807355749</v>
      </c>
      <c r="E45" s="2">
        <f t="shared" si="2"/>
        <v>0.58480450308489351</v>
      </c>
      <c r="F45" s="3">
        <f t="shared" si="3"/>
        <v>-9.0764808161377708</v>
      </c>
      <c r="G45">
        <f t="shared" si="4"/>
        <v>6.2567682697078908E-5</v>
      </c>
      <c r="I45">
        <f t="shared" si="5"/>
        <v>18.293571178468287</v>
      </c>
      <c r="J45">
        <f t="shared" si="6"/>
        <v>22.093552954006277</v>
      </c>
      <c r="K45">
        <f t="shared" si="7"/>
        <v>9.6128758675254353</v>
      </c>
      <c r="M45">
        <f t="shared" si="8"/>
        <v>1.3437388807355752</v>
      </c>
      <c r="N45">
        <f t="shared" si="9"/>
        <v>225.11349240737349</v>
      </c>
      <c r="O45">
        <f t="shared" si="10"/>
        <v>45.022698481474698</v>
      </c>
      <c r="P45">
        <f t="shared" si="11"/>
        <v>67.303662367497466</v>
      </c>
      <c r="Q45">
        <f t="shared" si="12"/>
        <v>287.21308944450413</v>
      </c>
    </row>
    <row r="46" spans="2:17" x14ac:dyDescent="0.3">
      <c r="B46" s="2">
        <v>39</v>
      </c>
      <c r="C46">
        <f t="shared" si="13"/>
        <v>124.20000000000022</v>
      </c>
      <c r="D46" s="1">
        <f t="shared" si="1"/>
        <v>8.4030901541242802</v>
      </c>
      <c r="E46" s="2">
        <f t="shared" si="2"/>
        <v>0.74404155870455857</v>
      </c>
      <c r="F46" s="3">
        <f t="shared" si="3"/>
        <v>-9.1470521085236154</v>
      </c>
      <c r="G46">
        <f t="shared" si="4"/>
        <v>7.9604305224023619E-5</v>
      </c>
      <c r="I46">
        <f t="shared" si="5"/>
        <v>17.71999651539895</v>
      </c>
      <c r="J46">
        <f t="shared" si="6"/>
        <v>22.619130713039894</v>
      </c>
      <c r="K46">
        <f t="shared" si="7"/>
        <v>9.6608727715611593</v>
      </c>
      <c r="M46">
        <f t="shared" si="8"/>
        <v>1.2550901541242805</v>
      </c>
      <c r="N46">
        <f t="shared" si="9"/>
        <v>229.1385604392766</v>
      </c>
      <c r="O46">
        <f t="shared" si="10"/>
        <v>45.827712087855318</v>
      </c>
      <c r="P46">
        <f t="shared" si="11"/>
        <v>67.574633582175252</v>
      </c>
      <c r="Q46">
        <f t="shared" si="12"/>
        <v>286.79541349864127</v>
      </c>
    </row>
    <row r="47" spans="2:17" x14ac:dyDescent="0.3">
      <c r="B47" s="2">
        <v>40</v>
      </c>
      <c r="C47">
        <f t="shared" si="13"/>
        <v>125.10000000000022</v>
      </c>
      <c r="D47" s="1">
        <f t="shared" si="1"/>
        <v>8.3123682130472627</v>
      </c>
      <c r="E47" s="2">
        <f t="shared" si="2"/>
        <v>0.90309504403111585</v>
      </c>
      <c r="F47" s="3">
        <f t="shared" si="3"/>
        <v>-9.2153666357906445</v>
      </c>
      <c r="G47">
        <f t="shared" si="4"/>
        <v>9.6621287733356098E-5</v>
      </c>
      <c r="I47">
        <f t="shared" si="5"/>
        <v>17.142049709601928</v>
      </c>
      <c r="J47">
        <f t="shared" si="6"/>
        <v>23.139127541638931</v>
      </c>
      <c r="K47">
        <f t="shared" si="7"/>
        <v>9.7188227487591412</v>
      </c>
      <c r="M47">
        <f t="shared" si="8"/>
        <v>1.164368213047263</v>
      </c>
      <c r="N47">
        <f t="shared" si="9"/>
        <v>233.19520171686037</v>
      </c>
      <c r="O47">
        <f t="shared" si="10"/>
        <v>46.639040343372073</v>
      </c>
      <c r="P47">
        <f t="shared" si="11"/>
        <v>67.917041512441784</v>
      </c>
      <c r="Q47">
        <f t="shared" si="12"/>
        <v>286.30696591125815</v>
      </c>
    </row>
    <row r="48" spans="2:17" x14ac:dyDescent="0.3">
      <c r="B48" s="2">
        <v>41</v>
      </c>
      <c r="C48">
        <f t="shared" si="13"/>
        <v>126.00000000000023</v>
      </c>
      <c r="D48" s="1">
        <f t="shared" si="1"/>
        <v>8.2195954404656959</v>
      </c>
      <c r="E48" s="2">
        <f t="shared" si="2"/>
        <v>1.0619257173117633</v>
      </c>
      <c r="F48" s="3">
        <f t="shared" si="3"/>
        <v>-9.2814075433456615</v>
      </c>
      <c r="G48">
        <f t="shared" si="4"/>
        <v>1.1361443179680464E-4</v>
      </c>
      <c r="I48">
        <f t="shared" si="5"/>
        <v>16.559873360762378</v>
      </c>
      <c r="J48">
        <f t="shared" si="6"/>
        <v>23.653415138403851</v>
      </c>
      <c r="K48">
        <f t="shared" si="7"/>
        <v>9.7867115008337677</v>
      </c>
      <c r="M48">
        <f t="shared" si="8"/>
        <v>1.0715954404656962</v>
      </c>
      <c r="N48">
        <f t="shared" si="9"/>
        <v>237.28247047955028</v>
      </c>
      <c r="O48">
        <f t="shared" si="10"/>
        <v>47.45649409591006</v>
      </c>
      <c r="P48">
        <f t="shared" si="11"/>
        <v>68.330856828959242</v>
      </c>
      <c r="Q48">
        <f t="shared" si="12"/>
        <v>285.74792235412434</v>
      </c>
    </row>
    <row r="49" spans="2:17" x14ac:dyDescent="0.3">
      <c r="B49" s="2">
        <v>42</v>
      </c>
      <c r="C49">
        <f t="shared" si="13"/>
        <v>126.90000000000023</v>
      </c>
      <c r="D49" s="1">
        <f t="shared" si="1"/>
        <v>8.1247947253228805</v>
      </c>
      <c r="E49" s="2">
        <f t="shared" si="2"/>
        <v>1.2204943917659945</v>
      </c>
      <c r="F49" s="3">
        <f t="shared" si="3"/>
        <v>-9.3451585375440249</v>
      </c>
      <c r="G49">
        <f t="shared" si="4"/>
        <v>1.3057954484985146E-4</v>
      </c>
      <c r="I49">
        <f t="shared" si="5"/>
        <v>15.973611112141597</v>
      </c>
      <c r="J49">
        <f t="shared" si="6"/>
        <v>24.161866610602257</v>
      </c>
      <c r="K49">
        <f t="shared" si="7"/>
        <v>9.8645222772561461</v>
      </c>
      <c r="M49">
        <f t="shared" si="8"/>
        <v>0.97679472532288081</v>
      </c>
      <c r="N49">
        <f t="shared" si="9"/>
        <v>241.39941311776846</v>
      </c>
      <c r="O49">
        <f t="shared" si="10"/>
        <v>48.279882623553689</v>
      </c>
      <c r="P49">
        <f t="shared" si="11"/>
        <v>68.816032291558656</v>
      </c>
      <c r="Q49">
        <f t="shared" si="12"/>
        <v>285.11847562537139</v>
      </c>
    </row>
    <row r="50" spans="2:17" x14ac:dyDescent="0.3">
      <c r="B50" s="2">
        <v>43</v>
      </c>
      <c r="C50">
        <f t="shared" si="13"/>
        <v>127.80000000000024</v>
      </c>
      <c r="D50" s="1">
        <f t="shared" si="1"/>
        <v>8.0279894568970942</v>
      </c>
      <c r="E50" s="2">
        <f t="shared" si="2"/>
        <v>1.37876194525378</v>
      </c>
      <c r="F50" s="3">
        <f t="shared" si="3"/>
        <v>-9.4066038897096185</v>
      </c>
      <c r="G50">
        <f t="shared" si="4"/>
        <v>1.4751244125577045E-4</v>
      </c>
      <c r="I50">
        <f t="shared" si="5"/>
        <v>15.383407615135242</v>
      </c>
      <c r="J50">
        <f t="shared" si="6"/>
        <v>24.664356505477713</v>
      </c>
      <c r="K50">
        <f t="shared" si="7"/>
        <v>9.9522358793870467</v>
      </c>
      <c r="M50">
        <f t="shared" si="8"/>
        <v>0.87998945689709451</v>
      </c>
      <c r="N50">
        <f t="shared" si="9"/>
        <v>245.54506835408088</v>
      </c>
      <c r="O50">
        <f t="shared" si="10"/>
        <v>49.109013670816175</v>
      </c>
      <c r="P50">
        <f t="shared" si="11"/>
        <v>69.372502706754659</v>
      </c>
      <c r="Q50">
        <f t="shared" si="12"/>
        <v>284.41883554778178</v>
      </c>
    </row>
    <row r="51" spans="2:17" x14ac:dyDescent="0.3">
      <c r="B51" s="2">
        <v>44</v>
      </c>
      <c r="C51">
        <f t="shared" si="13"/>
        <v>128.70000000000024</v>
      </c>
      <c r="D51" s="1">
        <f t="shared" si="1"/>
        <v>7.9292035190309704</v>
      </c>
      <c r="E51" s="2">
        <f t="shared" si="2"/>
        <v>1.5366893299278013</v>
      </c>
      <c r="F51" s="3">
        <f t="shared" si="3"/>
        <v>-9.465728440015452</v>
      </c>
      <c r="G51">
        <f t="shared" si="4"/>
        <v>1.6440894331992695E-4</v>
      </c>
      <c r="I51">
        <f t="shared" si="5"/>
        <v>14.789408493582734</v>
      </c>
      <c r="J51">
        <f t="shared" si="6"/>
        <v>25.160760841203388</v>
      </c>
      <c r="K51">
        <f t="shared" si="7"/>
        <v>10.049830665213879</v>
      </c>
      <c r="M51">
        <f t="shared" si="8"/>
        <v>0.78120351903097074</v>
      </c>
      <c r="N51">
        <f t="shared" si="9"/>
        <v>249.71846742657937</v>
      </c>
      <c r="O51">
        <f t="shared" si="10"/>
        <v>49.943693485315876</v>
      </c>
      <c r="P51">
        <f t="shared" si="11"/>
        <v>70.000184890031804</v>
      </c>
      <c r="Q51">
        <f t="shared" si="12"/>
        <v>283.64922886321904</v>
      </c>
    </row>
    <row r="52" spans="2:17" x14ac:dyDescent="0.3">
      <c r="B52" s="2">
        <v>45</v>
      </c>
      <c r="C52">
        <f t="shared" si="13"/>
        <v>129.60000000000025</v>
      </c>
      <c r="D52" s="1">
        <f t="shared" si="1"/>
        <v>7.8284612842388608</v>
      </c>
      <c r="E52" s="2">
        <f t="shared" si="2"/>
        <v>1.6942375818673534</v>
      </c>
      <c r="F52" s="3">
        <f t="shared" si="3"/>
        <v>-9.5225176012238837</v>
      </c>
      <c r="G52">
        <f t="shared" si="4"/>
        <v>1.812648823307228E-4</v>
      </c>
      <c r="I52">
        <f t="shared" si="5"/>
        <v>14.191760307836809</v>
      </c>
      <c r="J52">
        <f t="shared" si="6"/>
        <v>25.65095713747267</v>
      </c>
      <c r="K52">
        <f t="shared" si="7"/>
        <v>10.157282554690521</v>
      </c>
      <c r="M52">
        <f t="shared" si="8"/>
        <v>0.6804612842388611</v>
      </c>
      <c r="N52">
        <f t="shared" si="9"/>
        <v>253.91863427450363</v>
      </c>
      <c r="O52">
        <f t="shared" si="10"/>
        <v>50.783726854900728</v>
      </c>
      <c r="P52">
        <f t="shared" si="11"/>
        <v>70.698977632963846</v>
      </c>
      <c r="Q52">
        <f t="shared" si="12"/>
        <v>282.80989912327766</v>
      </c>
    </row>
    <row r="53" spans="2:17" x14ac:dyDescent="0.3">
      <c r="B53" s="2">
        <v>46</v>
      </c>
      <c r="C53">
        <f t="shared" si="13"/>
        <v>130.50000000000026</v>
      </c>
      <c r="D53" s="1">
        <f t="shared" si="1"/>
        <v>7.7257876076936443</v>
      </c>
      <c r="E53" s="2">
        <f t="shared" si="2"/>
        <v>1.8513678306915429</v>
      </c>
      <c r="F53" s="3">
        <f t="shared" si="3"/>
        <v>-9.5769573622856043</v>
      </c>
      <c r="G53">
        <f t="shared" si="4"/>
        <v>1.9807609958277794E-4</v>
      </c>
      <c r="I53">
        <f t="shared" si="5"/>
        <v>13.590610518601906</v>
      </c>
      <c r="J53">
        <f t="shared" si="6"/>
        <v>26.134824445719339</v>
      </c>
      <c r="K53">
        <f t="shared" si="7"/>
        <v>10.274565035678755</v>
      </c>
      <c r="M53">
        <f t="shared" si="8"/>
        <v>0.57778760769364457</v>
      </c>
      <c r="N53">
        <f t="shared" si="9"/>
        <v>258.14458572611267</v>
      </c>
      <c r="O53">
        <f t="shared" si="10"/>
        <v>51.62891714522253</v>
      </c>
      <c r="P53">
        <f t="shared" si="11"/>
        <v>71.468761675228592</v>
      </c>
      <c r="Q53">
        <f t="shared" si="12"/>
        <v>281.90110657623291</v>
      </c>
    </row>
    <row r="54" spans="2:17" x14ac:dyDescent="0.3">
      <c r="B54" s="2">
        <v>47</v>
      </c>
      <c r="C54">
        <f t="shared" si="13"/>
        <v>131.40000000000026</v>
      </c>
      <c r="D54" s="1">
        <f t="shared" si="1"/>
        <v>7.621207821094437</v>
      </c>
      <c r="E54" s="2">
        <f t="shared" si="2"/>
        <v>2.0080413091494078</v>
      </c>
      <c r="F54" s="3">
        <f t="shared" si="3"/>
        <v>-9.6290342917964402</v>
      </c>
      <c r="G54">
        <f t="shared" si="4"/>
        <v>2.14838447405441E-4</v>
      </c>
      <c r="I54">
        <f t="shared" si="5"/>
        <v>12.986107450550499</v>
      </c>
      <c r="J54">
        <f t="shared" si="6"/>
        <v>26.612243378959814</v>
      </c>
      <c r="K54">
        <f t="shared" si="7"/>
        <v>10.401649170489687</v>
      </c>
      <c r="M54">
        <f t="shared" si="8"/>
        <v>0.47320782109443726</v>
      </c>
      <c r="N54">
        <f t="shared" si="9"/>
        <v>262.39533168881002</v>
      </c>
      <c r="O54">
        <f t="shared" si="10"/>
        <v>52.479066337762006</v>
      </c>
      <c r="P54">
        <f t="shared" si="11"/>
        <v>72.309399681575883</v>
      </c>
      <c r="Q54">
        <f t="shared" si="12"/>
        <v>280.92312805037125</v>
      </c>
    </row>
    <row r="55" spans="2:17" x14ac:dyDescent="0.3">
      <c r="B55" s="2">
        <v>48</v>
      </c>
      <c r="C55">
        <f t="shared" si="13"/>
        <v>132.30000000000027</v>
      </c>
      <c r="D55" s="1">
        <f t="shared" si="1"/>
        <v>7.5147477264167533</v>
      </c>
      <c r="E55" s="2">
        <f t="shared" si="2"/>
        <v>2.1642193626845914</v>
      </c>
      <c r="F55" s="3">
        <f t="shared" si="3"/>
        <v>-9.6787355413111698</v>
      </c>
      <c r="G55">
        <f t="shared" si="4"/>
        <v>2.3154779017531268E-4</v>
      </c>
      <c r="I55">
        <f t="shared" si="5"/>
        <v>12.378400255726179</v>
      </c>
      <c r="J55">
        <f t="shared" si="6"/>
        <v>27.083096141250124</v>
      </c>
      <c r="K55">
        <f t="shared" si="7"/>
        <v>10.538503603023699</v>
      </c>
      <c r="M55">
        <f t="shared" si="8"/>
        <v>0.36674772641675357</v>
      </c>
      <c r="N55">
        <f t="shared" si="9"/>
        <v>266.66987534152912</v>
      </c>
      <c r="O55">
        <f t="shared" si="10"/>
        <v>53.333975068305826</v>
      </c>
      <c r="P55">
        <f t="shared" si="11"/>
        <v>73.220736223807705</v>
      </c>
      <c r="Q55">
        <f t="shared" si="12"/>
        <v>279.87625683378212</v>
      </c>
    </row>
    <row r="56" spans="2:17" x14ac:dyDescent="0.3">
      <c r="B56" s="2">
        <v>49</v>
      </c>
      <c r="C56">
        <f t="shared" si="13"/>
        <v>133.20000000000027</v>
      </c>
      <c r="D56" s="1">
        <f t="shared" si="1"/>
        <v>7.4064335895466291</v>
      </c>
      <c r="E56" s="2">
        <f t="shared" si="2"/>
        <v>2.3198634589722134</v>
      </c>
      <c r="F56" s="3">
        <f t="shared" si="3"/>
        <v>-9.7260488485134751</v>
      </c>
      <c r="G56">
        <f t="shared" si="4"/>
        <v>2.4820000536784903E-4</v>
      </c>
      <c r="I56">
        <f t="shared" si="5"/>
        <v>11.767638876742662</v>
      </c>
      <c r="J56">
        <f t="shared" si="6"/>
        <v>27.547266556750227</v>
      </c>
      <c r="K56">
        <f t="shared" si="7"/>
        <v>10.685094566507107</v>
      </c>
      <c r="M56">
        <f t="shared" si="8"/>
        <v>0.25843358954662943</v>
      </c>
      <c r="N56">
        <f t="shared" si="9"/>
        <v>270.96721332937938</v>
      </c>
      <c r="O56">
        <f t="shared" si="10"/>
        <v>54.193442665875878</v>
      </c>
      <c r="P56">
        <f t="shared" si="11"/>
        <v>74.202597767823846</v>
      </c>
      <c r="Q56">
        <f t="shared" si="12"/>
        <v>278.76080255068894</v>
      </c>
    </row>
    <row r="57" spans="2:17" x14ac:dyDescent="0.3">
      <c r="B57" s="2">
        <v>50</v>
      </c>
      <c r="C57">
        <f t="shared" si="13"/>
        <v>134.10000000000028</v>
      </c>
      <c r="D57" s="1">
        <f t="shared" si="1"/>
        <v>7.2962921338002813</v>
      </c>
      <c r="E57" s="2">
        <f t="shared" si="2"/>
        <v>2.4749351974255842</v>
      </c>
      <c r="F57" s="3">
        <f t="shared" si="3"/>
        <v>-9.7709625402413298</v>
      </c>
      <c r="G57">
        <f t="shared" si="4"/>
        <v>2.6479098453613403E-4</v>
      </c>
      <c r="I57">
        <f t="shared" si="5"/>
        <v>11.153974009787673</v>
      </c>
      <c r="J57">
        <f t="shared" si="6"/>
        <v>28.004640098388698</v>
      </c>
      <c r="K57">
        <f t="shared" si="7"/>
        <v>10.841385891823627</v>
      </c>
      <c r="M57">
        <f t="shared" si="8"/>
        <v>0.14829213380028161</v>
      </c>
      <c r="N57">
        <f t="shared" si="9"/>
        <v>275.28633596056051</v>
      </c>
      <c r="O57">
        <f t="shared" si="10"/>
        <v>55.0572671921121</v>
      </c>
      <c r="P57">
        <f t="shared" si="11"/>
        <v>75.254792665789736</v>
      </c>
      <c r="Q57">
        <f t="shared" si="12"/>
        <v>277.57709103440504</v>
      </c>
    </row>
    <row r="58" spans="2:17" x14ac:dyDescent="0.3">
      <c r="B58" s="2">
        <v>51</v>
      </c>
      <c r="C58">
        <f t="shared" si="13"/>
        <v>135.00000000000028</v>
      </c>
      <c r="D58" s="1">
        <f t="shared" si="1"/>
        <v>7.184350533330921</v>
      </c>
      <c r="E58" s="2">
        <f t="shared" si="2"/>
        <v>2.6293963186704139</v>
      </c>
      <c r="F58" s="3">
        <f t="shared" si="3"/>
        <v>-9.813465535366996</v>
      </c>
      <c r="G58">
        <f t="shared" si="4"/>
        <v>2.8131663433939025E-4</v>
      </c>
      <c r="I58">
        <f t="shared" si="5"/>
        <v>10.537557067440952</v>
      </c>
      <c r="J58">
        <f t="shared" si="6"/>
        <v>28.45510391612056</v>
      </c>
      <c r="K58">
        <f t="shared" si="7"/>
        <v>11.00733901643849</v>
      </c>
      <c r="M58">
        <f t="shared" si="8"/>
        <v>3.6350533330921309E-2</v>
      </c>
      <c r="N58">
        <f t="shared" si="9"/>
        <v>279.62622740554207</v>
      </c>
      <c r="O58">
        <f t="shared" si="10"/>
        <v>55.925245481108412</v>
      </c>
      <c r="P58">
        <f t="shared" si="11"/>
        <v>76.377111153476122</v>
      </c>
      <c r="Q58">
        <f t="shared" si="12"/>
        <v>276.32546419699315</v>
      </c>
    </row>
    <row r="59" spans="2:17" x14ac:dyDescent="0.3">
      <c r="B59" s="2">
        <v>52</v>
      </c>
      <c r="C59">
        <f t="shared" si="13"/>
        <v>135.90000000000029</v>
      </c>
      <c r="D59" s="1">
        <f t="shared" si="1"/>
        <v>7.070636406424347</v>
      </c>
      <c r="E59" s="2">
        <f t="shared" si="2"/>
        <v>2.7832087139841883</v>
      </c>
      <c r="F59" s="3">
        <f t="shared" si="3"/>
        <v>-9.8535473475309647</v>
      </c>
      <c r="G59">
        <f t="shared" si="4"/>
        <v>2.977728775714894E-4</v>
      </c>
      <c r="I59">
        <f t="shared" si="5"/>
        <v>9.9185401413154537</v>
      </c>
      <c r="J59">
        <f t="shared" si="6"/>
        <v>28.898546864771319</v>
      </c>
      <c r="K59">
        <f t="shared" si="7"/>
        <v>11.182912993913227</v>
      </c>
      <c r="M59">
        <f t="shared" si="8"/>
        <v>-7.73635935756527E-2</v>
      </c>
      <c r="N59">
        <f t="shared" si="9"/>
        <v>283.98586589851016</v>
      </c>
      <c r="O59">
        <f t="shared" si="10"/>
        <v>56.797173179702028</v>
      </c>
      <c r="P59">
        <f t="shared" si="11"/>
        <v>77.569325352821608</v>
      </c>
      <c r="Q59">
        <f t="shared" si="12"/>
        <v>275.00627989570961</v>
      </c>
    </row>
    <row r="60" spans="2:17" x14ac:dyDescent="0.3">
      <c r="B60" s="2">
        <v>53</v>
      </c>
      <c r="C60">
        <f t="shared" si="13"/>
        <v>136.8000000000003</v>
      </c>
      <c r="D60" s="1">
        <f t="shared" si="1"/>
        <v>6.9551778086849279</v>
      </c>
      <c r="E60" s="2">
        <f t="shared" si="2"/>
        <v>2.9363344346983666</v>
      </c>
      <c r="F60" s="3">
        <f t="shared" si="3"/>
        <v>-9.8911980877291601</v>
      </c>
      <c r="G60">
        <f t="shared" si="4"/>
        <v>3.1415565413439595E-4</v>
      </c>
      <c r="I60">
        <f t="shared" si="5"/>
        <v>9.2970759645310554</v>
      </c>
      <c r="J60">
        <f t="shared" si="6"/>
        <v>29.334859531460356</v>
      </c>
      <c r="K60">
        <f t="shared" si="7"/>
        <v>11.36806450400859</v>
      </c>
      <c r="M60">
        <f t="shared" si="8"/>
        <v>-0.19282219131507183</v>
      </c>
      <c r="N60">
        <f t="shared" si="9"/>
        <v>288.36422394108064</v>
      </c>
      <c r="O60">
        <f t="shared" si="10"/>
        <v>57.672844788216125</v>
      </c>
      <c r="P60">
        <f t="shared" si="11"/>
        <v>78.831189279765596</v>
      </c>
      <c r="Q60">
        <f t="shared" si="12"/>
        <v>273.61991179631605</v>
      </c>
    </row>
    <row r="61" spans="2:17" x14ac:dyDescent="0.3">
      <c r="B61" s="2">
        <v>54</v>
      </c>
      <c r="C61">
        <f t="shared" si="13"/>
        <v>137.7000000000003</v>
      </c>
      <c r="D61" s="1">
        <f t="shared" si="1"/>
        <v>6.8380032261137211</v>
      </c>
      <c r="E61" s="2">
        <f t="shared" si="2"/>
        <v>3.0887357015610988</v>
      </c>
      <c r="F61" s="3">
        <f t="shared" si="3"/>
        <v>-9.9264084667527559</v>
      </c>
      <c r="G61">
        <f t="shared" si="4"/>
        <v>3.3046092206312494E-4</v>
      </c>
      <c r="I61">
        <f t="shared" si="5"/>
        <v>8.6733178740299302</v>
      </c>
      <c r="J61">
        <f t="shared" si="6"/>
        <v>29.763934262596948</v>
      </c>
      <c r="K61">
        <f t="shared" si="7"/>
        <v>11.562747863373119</v>
      </c>
      <c r="M61">
        <f t="shared" si="8"/>
        <v>-0.30999677388627855</v>
      </c>
      <c r="N61">
        <f t="shared" si="9"/>
        <v>292.76026850827532</v>
      </c>
      <c r="O61">
        <f t="shared" si="10"/>
        <v>58.552053701655062</v>
      </c>
      <c r="P61">
        <f t="shared" si="11"/>
        <v>80.162438857397831</v>
      </c>
      <c r="Q61">
        <f t="shared" si="12"/>
        <v>272.16674923333971</v>
      </c>
    </row>
    <row r="62" spans="2:17" x14ac:dyDescent="0.3">
      <c r="B62" s="2">
        <v>55</v>
      </c>
      <c r="C62">
        <f t="shared" si="13"/>
        <v>138.60000000000031</v>
      </c>
      <c r="D62" s="1">
        <f t="shared" si="1"/>
        <v>6.7191415680803912</v>
      </c>
      <c r="E62" s="2">
        <f t="shared" si="2"/>
        <v>3.2403749140581382</v>
      </c>
      <c r="F62" s="3">
        <f t="shared" si="3"/>
        <v>-9.9591697974800173</v>
      </c>
      <c r="G62">
        <f t="shared" si="4"/>
        <v>3.4668465851162011E-4</v>
      </c>
      <c r="I62">
        <f t="shared" si="5"/>
        <v>8.0474197727429733</v>
      </c>
      <c r="J62">
        <f t="shared" si="6"/>
        <v>30.185665190442133</v>
      </c>
      <c r="K62">
        <f t="shared" si="7"/>
        <v>11.766915036814897</v>
      </c>
      <c r="M62">
        <f t="shared" si="8"/>
        <v>-0.42885843191960848</v>
      </c>
      <c r="N62">
        <f t="shared" si="9"/>
        <v>297.17296125675779</v>
      </c>
      <c r="O62">
        <f t="shared" si="10"/>
        <v>59.43459225135156</v>
      </c>
      <c r="P62">
        <f t="shared" si="11"/>
        <v>81.562791934467711</v>
      </c>
      <c r="Q62">
        <f t="shared" si="12"/>
        <v>270.64719706736304</v>
      </c>
    </row>
    <row r="63" spans="2:17" x14ac:dyDescent="0.3">
      <c r="B63" s="2">
        <v>56</v>
      </c>
      <c r="C63">
        <f t="shared" si="13"/>
        <v>139.50000000000031</v>
      </c>
      <c r="D63" s="1">
        <f t="shared" si="1"/>
        <v>6.5986221601906765</v>
      </c>
      <c r="E63" s="2">
        <f t="shared" si="2"/>
        <v>3.39121465968966</v>
      </c>
      <c r="F63" s="3">
        <f t="shared" si="3"/>
        <v>-9.9894739970195836</v>
      </c>
      <c r="G63">
        <f t="shared" si="4"/>
        <v>3.6282286075284276E-4</v>
      </c>
      <c r="I63">
        <f t="shared" si="5"/>
        <v>7.4195360916165729</v>
      </c>
      <c r="J63">
        <f t="shared" si="6"/>
        <v>30.599948259230015</v>
      </c>
      <c r="K63">
        <f t="shared" si="7"/>
        <v>11.980515649153414</v>
      </c>
      <c r="M63">
        <f t="shared" si="8"/>
        <v>-0.5493778398093232</v>
      </c>
      <c r="N63">
        <f t="shared" si="9"/>
        <v>301.60125873532326</v>
      </c>
      <c r="O63">
        <f t="shared" si="10"/>
        <v>60.320251747064653</v>
      </c>
      <c r="P63">
        <f t="shared" si="11"/>
        <v>83.031948309295132</v>
      </c>
      <c r="Q63">
        <f t="shared" si="12"/>
        <v>269.06167553942549</v>
      </c>
    </row>
    <row r="64" spans="2:17" x14ac:dyDescent="0.3">
      <c r="B64" s="2">
        <v>57</v>
      </c>
      <c r="C64">
        <f>(C63+0.9)</f>
        <v>140.40000000000032</v>
      </c>
      <c r="D64" s="1">
        <f t="shared" si="1"/>
        <v>6.4764747370511699</v>
      </c>
      <c r="E64" s="2">
        <f t="shared" si="2"/>
        <v>3.5412177232006896</v>
      </c>
      <c r="F64" s="3">
        <f t="shared" si="3"/>
        <v>-10.017313588704695</v>
      </c>
      <c r="G64">
        <f t="shared" si="4"/>
        <v>3.7887154716464977E-4</v>
      </c>
      <c r="I64">
        <f t="shared" si="5"/>
        <v>6.789821751509086</v>
      </c>
      <c r="J64">
        <f t="shared" si="6"/>
        <v>31.006681250841932</v>
      </c>
      <c r="K64">
        <f t="shared" si="7"/>
        <v>12.20349699764898</v>
      </c>
      <c r="M64">
        <f t="shared" si="8"/>
        <v>-0.67152526294882975</v>
      </c>
      <c r="N64">
        <f t="shared" si="9"/>
        <v>306.04411259763617</v>
      </c>
      <c r="O64">
        <f t="shared" si="10"/>
        <v>61.208822519527232</v>
      </c>
      <c r="P64">
        <f t="shared" si="11"/>
        <v>84.569589759122408</v>
      </c>
      <c r="Q64">
        <f t="shared" si="12"/>
        <v>267.41062012261597</v>
      </c>
    </row>
    <row r="65" spans="2:17" x14ac:dyDescent="0.3">
      <c r="B65" s="2">
        <v>58</v>
      </c>
      <c r="C65">
        <f t="shared" si="13"/>
        <v>141.30000000000032</v>
      </c>
      <c r="D65" s="1">
        <f t="shared" si="1"/>
        <v>6.3527294349331607</v>
      </c>
      <c r="E65" s="2">
        <f t="shared" si="2"/>
        <v>3.6903470957628737</v>
      </c>
      <c r="F65" s="3">
        <f t="shared" si="3"/>
        <v>-10.042681703937831</v>
      </c>
      <c r="G65">
        <f t="shared" si="4"/>
        <v>3.948267582032372E-4</v>
      </c>
      <c r="I65">
        <f t="shared" si="5"/>
        <v>6.1584321249664491</v>
      </c>
      <c r="J65">
        <f t="shared" si="6"/>
        <v>31.40576381002726</v>
      </c>
      <c r="K65">
        <f t="shared" si="7"/>
        <v>12.435804065006288</v>
      </c>
      <c r="M65">
        <f t="shared" si="8"/>
        <v>-0.79527056506683902</v>
      </c>
      <c r="N65">
        <f t="shared" si="9"/>
        <v>310.50046981720578</v>
      </c>
      <c r="O65">
        <f t="shared" si="10"/>
        <v>62.100093963441154</v>
      </c>
      <c r="P65">
        <f t="shared" si="11"/>
        <v>86.17538007494305</v>
      </c>
      <c r="Q65">
        <f t="shared" si="12"/>
        <v>265.694481370939</v>
      </c>
    </row>
    <row r="66" spans="2:17" x14ac:dyDescent="0.3">
      <c r="B66" s="2">
        <v>59</v>
      </c>
      <c r="C66">
        <f t="shared" si="13"/>
        <v>142.20000000000033</v>
      </c>
      <c r="D66" s="1">
        <f t="shared" si="1"/>
        <v>6.227416784337418</v>
      </c>
      <c r="E66" s="2">
        <f t="shared" si="2"/>
        <v>3.8385659841053061</v>
      </c>
      <c r="F66" s="3">
        <f t="shared" si="3"/>
        <v>-10.065572083885332</v>
      </c>
      <c r="G66">
        <f t="shared" si="4"/>
        <v>4.1068455739257104E-4</v>
      </c>
      <c r="I66">
        <f t="shared" si="5"/>
        <v>5.5255229978863447</v>
      </c>
      <c r="J66">
        <f t="shared" si="6"/>
        <v>31.797097469164559</v>
      </c>
      <c r="K66">
        <f t="shared" si="7"/>
        <v>12.6773795329491</v>
      </c>
      <c r="M66">
        <f t="shared" si="8"/>
        <v>-0.92058321566258172</v>
      </c>
      <c r="N66">
        <f t="shared" si="9"/>
        <v>314.96927290459195</v>
      </c>
      <c r="O66">
        <f t="shared" si="10"/>
        <v>62.993854580918388</v>
      </c>
      <c r="P66">
        <f t="shared" si="11"/>
        <v>87.848965101843348</v>
      </c>
      <c r="Q66">
        <f t="shared" si="12"/>
        <v>263.91372476553471</v>
      </c>
    </row>
    <row r="67" spans="2:17" x14ac:dyDescent="0.3">
      <c r="B67" s="2">
        <v>60</v>
      </c>
      <c r="C67">
        <f t="shared" si="13"/>
        <v>143.10000000000034</v>
      </c>
      <c r="D67" s="1">
        <f t="shared" ref="D67:D93" si="14">(10.1595*SIN((C67*3.1415/180)))</f>
        <v>6.1005677024616896</v>
      </c>
      <c r="E67" s="2">
        <f t="shared" ref="E67:E93" si="15">(10.1595*SIN((C67-120)*3.1415/180))</f>
        <v>3.9858378195921951</v>
      </c>
      <c r="F67" s="3">
        <f t="shared" ref="F67:F93" si="16">(10.1595*SIN((C67-240)*3.1415/180))</f>
        <v>-10.085979081021593</v>
      </c>
      <c r="G67">
        <f t="shared" ref="G67:G93" si="17">(D67+E67+F67)</f>
        <v>4.2644103229072527E-4</v>
      </c>
      <c r="I67">
        <f t="shared" ref="I67:I93" si="18">(1.5*232.7*SQRT(2)/700)*SIN((60-C67+90)*0.01745329)*1.1547*50</f>
        <v>4.8912505310803622</v>
      </c>
      <c r="J67">
        <f t="shared" ref="J67:J93" si="19">(1.5*230*SQRT(2)/700)*SIN((C67-90)*0.01745329)*1.1547*50</f>
        <v>32.180585672556965</v>
      </c>
      <c r="K67">
        <f t="shared" ref="K67:K93" si="20">(50-I67-J67)</f>
        <v>12.928163796362675</v>
      </c>
      <c r="M67">
        <f t="shared" ref="M67:M93" si="21">(D67-7.148)</f>
        <v>-1.0474322975383101</v>
      </c>
      <c r="N67">
        <f t="shared" ref="N67:N93" si="22">M67*I67-F67*J67</f>
        <v>319.44946012682772</v>
      </c>
      <c r="O67">
        <f t="shared" ref="O67:O93" si="23">N67/5</f>
        <v>63.88989202536554</v>
      </c>
      <c r="P67">
        <f t="shared" ref="P67:P93" si="24">M67*I67+J67*(-F67-7.1428)</f>
        <v>89.589972784887863</v>
      </c>
      <c r="Q67">
        <f t="shared" ref="Q67:Q93" si="25">((D67*I67)-(F67*J67)-(K67*7.1428))</f>
        <v>262.06883055833083</v>
      </c>
    </row>
    <row r="68" spans="2:17" x14ac:dyDescent="0.3">
      <c r="B68" s="2">
        <v>61</v>
      </c>
      <c r="C68">
        <f t="shared" ref="C68:C93" si="26">(C67+0.9)</f>
        <v>144.00000000000034</v>
      </c>
      <c r="D68" s="1">
        <f t="shared" si="14"/>
        <v>5.9722134855727846</v>
      </c>
      <c r="E68" s="2">
        <f t="shared" si="15"/>
        <v>4.1321262672450807</v>
      </c>
      <c r="F68" s="3">
        <f t="shared" si="16"/>
        <v>-10.103897660522414</v>
      </c>
      <c r="G68">
        <f t="shared" si="17"/>
        <v>4.4209229545089102E-4</v>
      </c>
      <c r="I68">
        <f t="shared" si="18"/>
        <v>4.2557712217436752</v>
      </c>
      <c r="J68">
        <f t="shared" si="19"/>
        <v>32.556133800255864</v>
      </c>
      <c r="K68">
        <f t="shared" si="20"/>
        <v>13.188094978000464</v>
      </c>
      <c r="M68">
        <f t="shared" si="21"/>
        <v>-1.175786514427215</v>
      </c>
      <c r="N68">
        <f t="shared" si="22"/>
        <v>323.93996572904626</v>
      </c>
      <c r="O68">
        <f t="shared" si="23"/>
        <v>64.787993145809253</v>
      </c>
      <c r="P68">
        <f t="shared" si="24"/>
        <v>91.398013220578662</v>
      </c>
      <c r="Q68">
        <f t="shared" si="25"/>
        <v>260.16029361320835</v>
      </c>
    </row>
    <row r="69" spans="2:17" x14ac:dyDescent="0.3">
      <c r="B69" s="2">
        <v>62</v>
      </c>
      <c r="C69">
        <f t="shared" si="26"/>
        <v>144.90000000000035</v>
      </c>
      <c r="D69" s="1">
        <f t="shared" si="14"/>
        <v>5.8423858012851504</v>
      </c>
      <c r="E69" s="2">
        <f t="shared" si="15"/>
        <v>4.277395234707428</v>
      </c>
      <c r="F69" s="3">
        <f t="shared" si="16"/>
        <v>-10.119323401507193</v>
      </c>
      <c r="G69">
        <f t="shared" si="17"/>
        <v>4.5763448538416185E-4</v>
      </c>
      <c r="I69">
        <f t="shared" si="18"/>
        <v>3.6192418648417037</v>
      </c>
      <c r="J69">
        <f t="shared" si="19"/>
        <v>32.923649191406966</v>
      </c>
      <c r="K69">
        <f t="shared" si="20"/>
        <v>13.457108943751329</v>
      </c>
      <c r="M69">
        <f t="shared" si="21"/>
        <v>-1.3056141987148493</v>
      </c>
      <c r="N69">
        <f t="shared" si="22"/>
        <v>328.43972015829735</v>
      </c>
      <c r="O69">
        <f t="shared" si="23"/>
        <v>65.68794403165947</v>
      </c>
      <c r="P69">
        <f t="shared" si="24"/>
        <v>93.272678713915681</v>
      </c>
      <c r="Q69">
        <f t="shared" si="25"/>
        <v>258.1886232447589</v>
      </c>
    </row>
    <row r="70" spans="2:17" x14ac:dyDescent="0.3">
      <c r="B70" s="2">
        <v>63</v>
      </c>
      <c r="C70">
        <f t="shared" si="26"/>
        <v>145.80000000000035</v>
      </c>
      <c r="D70" s="1">
        <f t="shared" si="14"/>
        <v>5.7111166807478329</v>
      </c>
      <c r="E70" s="2">
        <f t="shared" si="15"/>
        <v>4.4216088811493481</v>
      </c>
      <c r="F70" s="3">
        <f t="shared" si="16"/>
        <v>-10.132252498129661</v>
      </c>
      <c r="G70">
        <f t="shared" si="17"/>
        <v>4.7306376752054291E-4</v>
      </c>
      <c r="I70">
        <f t="shared" si="18"/>
        <v>2.9818195144233202</v>
      </c>
      <c r="J70">
        <f t="shared" si="19"/>
        <v>33.28304116711292</v>
      </c>
      <c r="K70">
        <f t="shared" si="20"/>
        <v>13.735139318463759</v>
      </c>
      <c r="M70">
        <f t="shared" si="21"/>
        <v>-1.4368833192521668</v>
      </c>
      <c r="N70">
        <f t="shared" si="22"/>
        <v>332.94765028953674</v>
      </c>
      <c r="O70">
        <f t="shared" si="23"/>
        <v>66.589530057907353</v>
      </c>
      <c r="P70">
        <f t="shared" si="24"/>
        <v>95.213543841082611</v>
      </c>
      <c r="Q70">
        <f t="shared" si="25"/>
        <v>256.15434305471172</v>
      </c>
    </row>
    <row r="71" spans="2:17" x14ac:dyDescent="0.3">
      <c r="B71" s="2">
        <v>64</v>
      </c>
      <c r="C71">
        <f t="shared" si="26"/>
        <v>146.70000000000036</v>
      </c>
      <c r="D71" s="1">
        <f t="shared" si="14"/>
        <v>5.5784385107417211</v>
      </c>
      <c r="E71" s="2">
        <f t="shared" si="15"/>
        <v>4.5647316261102624</v>
      </c>
      <c r="F71" s="3">
        <f t="shared" si="16"/>
        <v>-10.142681760516846</v>
      </c>
      <c r="G71">
        <f t="shared" si="17"/>
        <v>4.8837633513798551E-4</v>
      </c>
      <c r="I71">
        <f t="shared" si="18"/>
        <v>2.3436614448701216</v>
      </c>
      <c r="J71">
        <f t="shared" si="19"/>
        <v>33.634221052807042</v>
      </c>
      <c r="K71">
        <f t="shared" si="20"/>
        <v>14.022117502322835</v>
      </c>
      <c r="M71">
        <f t="shared" si="21"/>
        <v>-1.5695614892582785</v>
      </c>
      <c r="N71">
        <f t="shared" si="22"/>
        <v>337.46267965377012</v>
      </c>
      <c r="O71">
        <f t="shared" si="23"/>
        <v>67.49253593075403</v>
      </c>
      <c r="P71">
        <f t="shared" si="24"/>
        <v>97.220165517779975</v>
      </c>
      <c r="Q71">
        <f t="shared" si="25"/>
        <v>254.05799076611018</v>
      </c>
    </row>
    <row r="72" spans="2:17" x14ac:dyDescent="0.3">
      <c r="B72" s="2">
        <v>65</v>
      </c>
      <c r="C72">
        <f t="shared" si="26"/>
        <v>147.60000000000036</v>
      </c>
      <c r="D72" s="1">
        <f t="shared" si="14"/>
        <v>5.4443840256890548</v>
      </c>
      <c r="E72" s="2">
        <f t="shared" si="15"/>
        <v>4.7067281582773361</v>
      </c>
      <c r="F72" s="3">
        <f t="shared" si="16"/>
        <v>-10.150608615556088</v>
      </c>
      <c r="G72">
        <f t="shared" si="17"/>
        <v>5.0356841030207988E-4</v>
      </c>
      <c r="I72">
        <f t="shared" si="18"/>
        <v>1.7049251120913389</v>
      </c>
      <c r="J72">
        <f t="shared" si="19"/>
        <v>33.977102200132364</v>
      </c>
      <c r="K72">
        <f t="shared" si="20"/>
        <v>14.317972687776297</v>
      </c>
      <c r="M72">
        <f t="shared" si="21"/>
        <v>-1.7036159743109449</v>
      </c>
      <c r="N72">
        <f t="shared" si="22"/>
        <v>341.98372866833063</v>
      </c>
      <c r="O72">
        <f t="shared" si="23"/>
        <v>68.396745733666123</v>
      </c>
      <c r="P72">
        <f t="shared" si="24"/>
        <v>99.292083073225143</v>
      </c>
      <c r="Q72">
        <f t="shared" si="25"/>
        <v>251.90011805531097</v>
      </c>
    </row>
    <row r="73" spans="2:17" x14ac:dyDescent="0.3">
      <c r="B73" s="2">
        <v>66</v>
      </c>
      <c r="C73">
        <f t="shared" si="26"/>
        <v>148.50000000000037</v>
      </c>
      <c r="D73" s="1">
        <f t="shared" si="14"/>
        <v>5.3089862995772155</v>
      </c>
      <c r="E73" s="2">
        <f t="shared" si="15"/>
        <v>4.8475634441974957</v>
      </c>
      <c r="F73" s="3">
        <f t="shared" si="16"/>
        <v>-10.156031107529882</v>
      </c>
      <c r="G73">
        <f t="shared" si="17"/>
        <v>5.1863624482884063E-4</v>
      </c>
      <c r="I73">
        <f t="shared" si="18"/>
        <v>1.0657681146739595</v>
      </c>
      <c r="J73">
        <f t="shared" si="19"/>
        <v>34.311600008320859</v>
      </c>
      <c r="K73">
        <f t="shared" si="20"/>
        <v>14.622631877005183</v>
      </c>
      <c r="M73">
        <f t="shared" si="21"/>
        <v>-1.8390137004227842</v>
      </c>
      <c r="N73">
        <f t="shared" si="22"/>
        <v>346.50971486927006</v>
      </c>
      <c r="O73">
        <f t="shared" si="23"/>
        <v>69.301942973854011</v>
      </c>
      <c r="P73">
        <f t="shared" si="24"/>
        <v>101.42881832983581</v>
      </c>
      <c r="Q73">
        <f t="shared" si="25"/>
        <v>249.6812903818869</v>
      </c>
    </row>
    <row r="74" spans="2:17" x14ac:dyDescent="0.3">
      <c r="B74" s="2">
        <v>67</v>
      </c>
      <c r="C74">
        <f t="shared" si="26"/>
        <v>149.40000000000038</v>
      </c>
      <c r="D74" s="1">
        <f t="shared" si="14"/>
        <v>5.1722787377986492</v>
      </c>
      <c r="E74" s="2">
        <f t="shared" si="15"/>
        <v>4.9872027369209047</v>
      </c>
      <c r="F74" s="3">
        <f t="shared" si="16"/>
        <v>-10.158947898598383</v>
      </c>
      <c r="G74">
        <f t="shared" si="17"/>
        <v>5.3357612117110875E-4</v>
      </c>
      <c r="I74">
        <f t="shared" si="18"/>
        <v>0.42634815499764755</v>
      </c>
      <c r="J74">
        <f t="shared" si="19"/>
        <v>34.637631945067369</v>
      </c>
      <c r="K74">
        <f t="shared" si="20"/>
        <v>14.936019899934983</v>
      </c>
      <c r="M74">
        <f t="shared" si="21"/>
        <v>-1.9757212622013505</v>
      </c>
      <c r="N74">
        <f t="shared" si="22"/>
        <v>351.0395531458372</v>
      </c>
      <c r="O74">
        <f t="shared" si="23"/>
        <v>70.207910629167444</v>
      </c>
      <c r="P74">
        <f t="shared" si="24"/>
        <v>103.62987568860997</v>
      </c>
      <c r="Q74">
        <f t="shared" si="25"/>
        <v>247.40208681650478</v>
      </c>
    </row>
    <row r="75" spans="2:17" x14ac:dyDescent="0.3">
      <c r="B75" s="2">
        <v>68</v>
      </c>
      <c r="C75">
        <f t="shared" si="26"/>
        <v>150.30000000000038</v>
      </c>
      <c r="D75" s="1">
        <f t="shared" si="14"/>
        <v>5.034295068909092</v>
      </c>
      <c r="E75" s="2">
        <f t="shared" si="15"/>
        <v>5.1256115845737495</v>
      </c>
      <c r="F75" s="3">
        <f t="shared" si="16"/>
        <v>-10.159358269129491</v>
      </c>
      <c r="G75">
        <f t="shared" si="17"/>
        <v>5.48384353351139E-4</v>
      </c>
      <c r="I75">
        <f t="shared" si="18"/>
        <v>-0.21317699967594969</v>
      </c>
      <c r="J75">
        <f t="shared" si="19"/>
        <v>34.955117566893286</v>
      </c>
      <c r="K75">
        <f t="shared" si="20"/>
        <v>15.258059432782666</v>
      </c>
      <c r="M75">
        <f t="shared" si="21"/>
        <v>-2.1137049310909077</v>
      </c>
      <c r="N75">
        <f t="shared" si="22"/>
        <v>355.57215597702105</v>
      </c>
      <c r="O75">
        <f t="shared" si="23"/>
        <v>71.114431195404208</v>
      </c>
      <c r="P75">
        <f t="shared" si="24"/>
        <v>105.89474222021569</v>
      </c>
      <c r="Q75">
        <f t="shared" si="25"/>
        <v>245.06309986685733</v>
      </c>
    </row>
    <row r="76" spans="2:17" x14ac:dyDescent="0.3">
      <c r="C76">
        <f t="shared" si="26"/>
        <v>151.20000000000039</v>
      </c>
      <c r="D76" s="1">
        <f t="shared" si="14"/>
        <v>4.8950693363060553</v>
      </c>
      <c r="E76" s="2">
        <f t="shared" si="15"/>
        <v>5.2627558388582134</v>
      </c>
      <c r="F76" s="3">
        <f t="shared" si="16"/>
        <v>-10.157262117876389</v>
      </c>
      <c r="G76">
        <f t="shared" si="17"/>
        <v>5.6305728788075271E-4</v>
      </c>
      <c r="I76">
        <f t="shared" si="18"/>
        <v>-0.85264955612990079</v>
      </c>
      <c r="J76">
        <f t="shared" si="19"/>
        <v>35.26397853899465</v>
      </c>
      <c r="K76">
        <f t="shared" si="20"/>
        <v>15.588671017135255</v>
      </c>
      <c r="M76">
        <f t="shared" si="21"/>
        <v>-2.2529306636939443</v>
      </c>
      <c r="N76">
        <f t="shared" si="22"/>
        <v>360.10643367012642</v>
      </c>
      <c r="O76">
        <f t="shared" si="23"/>
        <v>72.021286734025281</v>
      </c>
      <c r="P76">
        <f t="shared" si="24"/>
        <v>108.22288776179542</v>
      </c>
      <c r="Q76">
        <f t="shared" si="25"/>
        <v>242.66493530171618</v>
      </c>
    </row>
    <row r="77" spans="2:17" x14ac:dyDescent="0.3">
      <c r="C77">
        <f t="shared" si="26"/>
        <v>152.10000000000039</v>
      </c>
      <c r="D77" s="1">
        <f t="shared" si="14"/>
        <v>4.7546358898295988</v>
      </c>
      <c r="E77" s="2">
        <f t="shared" si="15"/>
        <v>5.3986016634775718</v>
      </c>
      <c r="F77" s="3">
        <f t="shared" si="16"/>
        <v>-10.152659962002527</v>
      </c>
      <c r="G77">
        <f t="shared" si="17"/>
        <v>5.7759130464418718E-4</v>
      </c>
      <c r="I77">
        <f t="shared" si="18"/>
        <v>-1.4919117341250949</v>
      </c>
      <c r="J77">
        <f t="shared" si="19"/>
        <v>35.564138654570208</v>
      </c>
      <c r="K77">
        <f t="shared" si="20"/>
        <v>15.927773079554889</v>
      </c>
      <c r="M77">
        <f t="shared" si="21"/>
        <v>-2.3933641101704008</v>
      </c>
      <c r="N77">
        <f t="shared" si="22"/>
        <v>364.64129460135842</v>
      </c>
      <c r="O77">
        <f t="shared" si="23"/>
        <v>72.928258920271688</v>
      </c>
      <c r="P77">
        <f t="shared" si="24"/>
        <v>110.61376501949438</v>
      </c>
      <c r="Q77">
        <f t="shared" si="25"/>
        <v>240.20821197318759</v>
      </c>
    </row>
    <row r="78" spans="2:17" x14ac:dyDescent="0.3">
      <c r="C78">
        <f t="shared" si="26"/>
        <v>153.0000000000004</v>
      </c>
      <c r="D78" s="1">
        <f t="shared" si="14"/>
        <v>4.6130293772875337</v>
      </c>
      <c r="E78" s="2">
        <f t="shared" si="15"/>
        <v>5.5331155424842926</v>
      </c>
      <c r="F78" s="3">
        <f t="shared" si="16"/>
        <v>-10.145552936954029</v>
      </c>
      <c r="G78">
        <f t="shared" si="17"/>
        <v>5.9198281779693218E-4</v>
      </c>
      <c r="I78">
        <f t="shared" si="18"/>
        <v>-2.1308058053301417</v>
      </c>
      <c r="J78">
        <f t="shared" si="19"/>
        <v>35.855523853624199</v>
      </c>
      <c r="K78">
        <f t="shared" si="20"/>
        <v>16.275281951705942</v>
      </c>
      <c r="M78">
        <f t="shared" si="21"/>
        <v>-2.534970622712466</v>
      </c>
      <c r="N78">
        <f t="shared" si="22"/>
        <v>369.17564545837934</v>
      </c>
      <c r="O78">
        <f t="shared" si="23"/>
        <v>73.835129091675867</v>
      </c>
      <c r="P78">
        <f t="shared" si="24"/>
        <v>113.0668096767124</v>
      </c>
      <c r="Q78">
        <f t="shared" si="25"/>
        <v>237.69356163723421</v>
      </c>
    </row>
    <row r="79" spans="2:17" x14ac:dyDescent="0.3">
      <c r="C79">
        <f t="shared" si="26"/>
        <v>153.9000000000004</v>
      </c>
      <c r="D79" s="1">
        <f t="shared" si="14"/>
        <v>4.4702847359071072</v>
      </c>
      <c r="E79" s="2">
        <f t="shared" si="15"/>
        <v>5.6662642885491108</v>
      </c>
      <c r="F79" s="3">
        <f t="shared" si="16"/>
        <v>-10.135942796179551</v>
      </c>
      <c r="G79">
        <f t="shared" si="17"/>
        <v>6.0622827666811929E-4</v>
      </c>
      <c r="I79">
        <f t="shared" si="18"/>
        <v>-2.7691741322384682</v>
      </c>
      <c r="J79">
        <f t="shared" si="19"/>
        <v>36.138062241239631</v>
      </c>
      <c r="K79">
        <f t="shared" si="20"/>
        <v>16.631111890998838</v>
      </c>
      <c r="M79">
        <f t="shared" si="21"/>
        <v>-2.6777152640928925</v>
      </c>
      <c r="N79">
        <f t="shared" si="22"/>
        <v>373.70839148480718</v>
      </c>
      <c r="O79">
        <f t="shared" si="23"/>
        <v>74.741678296961439</v>
      </c>
      <c r="P79">
        <f t="shared" si="24"/>
        <v>115.58144050808076</v>
      </c>
      <c r="Q79">
        <f t="shared" si="25"/>
        <v>235.12162877254013</v>
      </c>
    </row>
    <row r="80" spans="2:17" x14ac:dyDescent="0.3">
      <c r="C80">
        <f t="shared" si="26"/>
        <v>154.80000000000041</v>
      </c>
      <c r="D80" s="1">
        <f t="shared" si="14"/>
        <v>4.3264371837152558</v>
      </c>
      <c r="E80" s="2">
        <f t="shared" si="15"/>
        <v>5.7980150511490196</v>
      </c>
      <c r="F80" s="3">
        <f t="shared" si="16"/>
        <v>-10.123831910697671</v>
      </c>
      <c r="G80">
        <f t="shared" si="17"/>
        <v>6.2032416660429135E-4</v>
      </c>
      <c r="I80">
        <f t="shared" si="18"/>
        <v>-3.4068592070630017</v>
      </c>
      <c r="J80">
        <f t="shared" si="19"/>
        <v>36.411684105317185</v>
      </c>
      <c r="K80">
        <f t="shared" si="20"/>
        <v>16.995175101745815</v>
      </c>
      <c r="M80">
        <f t="shared" si="21"/>
        <v>-2.8215628162847439</v>
      </c>
      <c r="N80">
        <f t="shared" si="22"/>
        <v>378.23843672661957</v>
      </c>
      <c r="O80">
        <f t="shared" si="23"/>
        <v>75.647687345323916</v>
      </c>
      <c r="P80">
        <f t="shared" si="24"/>
        <v>118.15705949916</v>
      </c>
      <c r="Q80">
        <f t="shared" si="25"/>
        <v>232.49307039778324</v>
      </c>
    </row>
    <row r="81" spans="3:17" x14ac:dyDescent="0.3">
      <c r="C81">
        <f t="shared" si="26"/>
        <v>155.70000000000041</v>
      </c>
      <c r="D81" s="1">
        <f t="shared" si="14"/>
        <v>4.1815222108496055</v>
      </c>
      <c r="E81" s="2">
        <f t="shared" si="15"/>
        <v>5.9283353246721671</v>
      </c>
      <c r="F81" s="3">
        <f t="shared" si="16"/>
        <v>-10.10922326851191</v>
      </c>
      <c r="G81">
        <f t="shared" si="17"/>
        <v>6.3426700986290996E-4</v>
      </c>
      <c r="I81">
        <f t="shared" si="18"/>
        <v>-4.043703690598849</v>
      </c>
      <c r="J81">
        <f t="shared" si="19"/>
        <v>36.676321933775696</v>
      </c>
      <c r="K81">
        <f t="shared" si="20"/>
        <v>17.36738175682315</v>
      </c>
      <c r="M81">
        <f t="shared" si="21"/>
        <v>-2.9664777891503942</v>
      </c>
      <c r="N81">
        <f t="shared" si="22"/>
        <v>382.76468428042597</v>
      </c>
      <c r="O81">
        <f t="shared" si="23"/>
        <v>76.552936856085196</v>
      </c>
      <c r="P81">
        <f t="shared" si="24"/>
        <v>120.7930519718529</v>
      </c>
      <c r="Q81">
        <f t="shared" si="25"/>
        <v>229.80855588738899</v>
      </c>
    </row>
    <row r="82" spans="3:17" x14ac:dyDescent="0.3">
      <c r="C82">
        <f t="shared" si="26"/>
        <v>156.60000000000042</v>
      </c>
      <c r="D82" s="1">
        <f t="shared" si="14"/>
        <v>4.0355755708023278</v>
      </c>
      <c r="E82" s="2">
        <f t="shared" si="15"/>
        <v>6.0571929564376621</v>
      </c>
      <c r="F82" s="3">
        <f t="shared" si="16"/>
        <v>-10.09212047387353</v>
      </c>
      <c r="G82">
        <f t="shared" si="17"/>
        <v>6.480533664596777E-4</v>
      </c>
      <c r="I82">
        <f t="shared" si="18"/>
        <v>-4.6795504510443777</v>
      </c>
      <c r="J82">
        <f t="shared" si="19"/>
        <v>36.931910431209701</v>
      </c>
      <c r="K82">
        <f t="shared" si="20"/>
        <v>17.747640019834677</v>
      </c>
      <c r="M82">
        <f t="shared" si="21"/>
        <v>-3.1124244291976719</v>
      </c>
      <c r="N82">
        <f t="shared" si="22"/>
        <v>387.28603654356834</v>
      </c>
      <c r="O82">
        <f t="shared" si="23"/>
        <v>77.457207308713663</v>
      </c>
      <c r="P82">
        <f t="shared" si="24"/>
        <v>123.48878671552367</v>
      </c>
      <c r="Q82">
        <f t="shared" si="25"/>
        <v>227.06876678582802</v>
      </c>
    </row>
    <row r="83" spans="3:17" x14ac:dyDescent="0.3">
      <c r="C83">
        <f t="shared" si="26"/>
        <v>157.50000000000043</v>
      </c>
      <c r="D83" s="1">
        <f t="shared" si="14"/>
        <v>3.8886332715990171</v>
      </c>
      <c r="E83" s="2">
        <f t="shared" si="15"/>
        <v>6.1845561546282912</v>
      </c>
      <c r="F83" s="3">
        <f t="shared" si="16"/>
        <v>-10.072527746392296</v>
      </c>
      <c r="G83">
        <f t="shared" si="17"/>
        <v>6.6167983501230765E-4</v>
      </c>
      <c r="I83">
        <f t="shared" si="18"/>
        <v>-5.3142426027711309</v>
      </c>
      <c r="J83">
        <f t="shared" si="19"/>
        <v>37.178386535000122</v>
      </c>
      <c r="K83">
        <f t="shared" si="20"/>
        <v>18.135856067771009</v>
      </c>
      <c r="M83">
        <f t="shared" si="21"/>
        <v>-3.2593667284009826</v>
      </c>
      <c r="N83">
        <f t="shared" si="22"/>
        <v>391.80139546600975</v>
      </c>
      <c r="O83">
        <f t="shared" si="23"/>
        <v>78.360279093201953</v>
      </c>
      <c r="P83">
        <f t="shared" si="24"/>
        <v>126.24361612381085</v>
      </c>
      <c r="Q83">
        <f t="shared" si="25"/>
        <v>224.27439662052694</v>
      </c>
    </row>
    <row r="84" spans="3:17" x14ac:dyDescent="0.3">
      <c r="C84">
        <f t="shared" si="26"/>
        <v>158.40000000000043</v>
      </c>
      <c r="D84" s="1">
        <f t="shared" si="14"/>
        <v>3.7407315669147865</v>
      </c>
      <c r="E84" s="2">
        <f t="shared" si="15"/>
        <v>6.3103934961342167</v>
      </c>
      <c r="F84" s="3">
        <f t="shared" si="16"/>
        <v>-10.050449919995406</v>
      </c>
      <c r="G84">
        <f t="shared" si="17"/>
        <v>6.7514305359672733E-4</v>
      </c>
      <c r="I84">
        <f t="shared" si="18"/>
        <v>-5.947623545032994</v>
      </c>
      <c r="J84">
        <f t="shared" si="19"/>
        <v>37.415689430874011</v>
      </c>
      <c r="K84">
        <f t="shared" si="20"/>
        <v>18.531934114158986</v>
      </c>
      <c r="M84">
        <f t="shared" si="21"/>
        <v>-3.4072684330852132</v>
      </c>
      <c r="N84">
        <f t="shared" si="22"/>
        <v>396.30966280396598</v>
      </c>
      <c r="O84">
        <f t="shared" si="23"/>
        <v>79.261932560793198</v>
      </c>
      <c r="P84">
        <f t="shared" si="24"/>
        <v>129.05687633711906</v>
      </c>
      <c r="Q84">
        <f t="shared" si="25"/>
        <v>221.42615071345531</v>
      </c>
    </row>
    <row r="85" spans="3:17" x14ac:dyDescent="0.3">
      <c r="C85">
        <f t="shared" si="26"/>
        <v>159.30000000000044</v>
      </c>
      <c r="D85" s="1">
        <f t="shared" si="14"/>
        <v>3.5919069471297238</v>
      </c>
      <c r="E85" s="2">
        <f t="shared" si="15"/>
        <v>6.4346739343057013</v>
      </c>
      <c r="F85" s="3">
        <f t="shared" si="16"/>
        <v>-10.025892441734861</v>
      </c>
      <c r="G85">
        <f t="shared" si="17"/>
        <v>6.8843970056420289E-4</v>
      </c>
      <c r="I85">
        <f t="shared" si="18"/>
        <v>-6.5795370006050691</v>
      </c>
      <c r="J85">
        <f t="shared" si="19"/>
        <v>37.64376056790956</v>
      </c>
      <c r="K85">
        <f t="shared" si="20"/>
        <v>18.935776432695512</v>
      </c>
      <c r="M85">
        <f t="shared" si="21"/>
        <v>-3.5560930528702759</v>
      </c>
      <c r="N85">
        <f t="shared" si="22"/>
        <v>400.80974037523589</v>
      </c>
      <c r="O85">
        <f t="shared" si="23"/>
        <v>80.161948075047178</v>
      </c>
      <c r="P85">
        <f t="shared" si="24"/>
        <v>131.92788739077145</v>
      </c>
      <c r="Q85">
        <f t="shared" si="25"/>
        <v>218.52474599145336</v>
      </c>
    </row>
    <row r="86" spans="3:17" x14ac:dyDescent="0.3">
      <c r="C86">
        <f t="shared" si="26"/>
        <v>160.20000000000044</v>
      </c>
      <c r="D86" s="1">
        <f t="shared" si="14"/>
        <v>3.4421961303259732</v>
      </c>
      <c r="E86" s="2">
        <f t="shared" si="15"/>
        <v>6.557366806612948</v>
      </c>
      <c r="F86" s="3">
        <f t="shared" si="16"/>
        <v>-9.9988613704435707</v>
      </c>
      <c r="G86">
        <f t="shared" si="17"/>
        <v>7.0156649535135784E-4</v>
      </c>
      <c r="I86">
        <f t="shared" si="18"/>
        <v>-7.2098270543427416</v>
      </c>
      <c r="J86">
        <f t="shared" si="19"/>
        <v>37.862543672982646</v>
      </c>
      <c r="K86">
        <f t="shared" si="20"/>
        <v>19.347283381360093</v>
      </c>
      <c r="M86">
        <f t="shared" si="21"/>
        <v>-3.7058038696740265</v>
      </c>
      <c r="N86">
        <f t="shared" si="22"/>
        <v>405.30053031618263</v>
      </c>
      <c r="O86">
        <f t="shared" si="23"/>
        <v>81.060106063236532</v>
      </c>
      <c r="P86">
        <f t="shared" si="24"/>
        <v>134.85595336880218</v>
      </c>
      <c r="Q86">
        <f t="shared" si="25"/>
        <v>215.57091079536184</v>
      </c>
    </row>
    <row r="87" spans="3:17" x14ac:dyDescent="0.3">
      <c r="C87">
        <f t="shared" si="26"/>
        <v>161.10000000000045</v>
      </c>
      <c r="D87" s="1">
        <f t="shared" si="14"/>
        <v>3.2916360532286508</v>
      </c>
      <c r="E87" s="2">
        <f t="shared" si="15"/>
        <v>6.6784418422111811</v>
      </c>
      <c r="F87" s="3">
        <f t="shared" si="16"/>
        <v>-9.9693633752405155</v>
      </c>
      <c r="G87">
        <f t="shared" si="17"/>
        <v>7.1452019931683708E-4</v>
      </c>
      <c r="I87">
        <f t="shared" si="18"/>
        <v>-7.8383381916513892</v>
      </c>
      <c r="J87">
        <f t="shared" si="19"/>
        <v>38.071984764651425</v>
      </c>
      <c r="K87">
        <f t="shared" si="20"/>
        <v>19.766353426999963</v>
      </c>
      <c r="M87">
        <f t="shared" si="21"/>
        <v>-3.8563639467713489</v>
      </c>
      <c r="N87">
        <f t="shared" si="22"/>
        <v>409.7809353403162</v>
      </c>
      <c r="O87">
        <f t="shared" si="23"/>
        <v>81.956187068063244</v>
      </c>
      <c r="P87">
        <f t="shared" si="24"/>
        <v>137.84036256336395</v>
      </c>
      <c r="Q87">
        <f t="shared" si="25"/>
        <v>212.56538468801674</v>
      </c>
    </row>
    <row r="88" spans="3:17" x14ac:dyDescent="0.3">
      <c r="C88">
        <f t="shared" si="26"/>
        <v>162.00000000000045</v>
      </c>
      <c r="D88" s="1">
        <f t="shared" si="14"/>
        <v>3.1402638620927701</v>
      </c>
      <c r="E88" s="2">
        <f t="shared" si="15"/>
        <v>6.7978691694090765</v>
      </c>
      <c r="F88" s="3">
        <f t="shared" si="16"/>
        <v>-9.937405733885333</v>
      </c>
      <c r="G88">
        <f t="shared" si="17"/>
        <v>7.2729761651402214E-4</v>
      </c>
      <c r="I88">
        <f t="shared" si="18"/>
        <v>-8.464915336857274</v>
      </c>
      <c r="J88">
        <f t="shared" si="19"/>
        <v>38.272032166475356</v>
      </c>
      <c r="K88">
        <f t="shared" si="20"/>
        <v>20.192883170381918</v>
      </c>
      <c r="M88">
        <f t="shared" si="21"/>
        <v>-4.00773613790723</v>
      </c>
      <c r="N88">
        <f t="shared" si="22"/>
        <v>414.24985899842414</v>
      </c>
      <c r="O88">
        <f t="shared" si="23"/>
        <v>82.849971799684823</v>
      </c>
      <c r="P88">
        <f t="shared" si="24"/>
        <v>140.88038763972398</v>
      </c>
      <c r="Q88">
        <f t="shared" si="25"/>
        <v>209.50891826116435</v>
      </c>
    </row>
    <row r="89" spans="3:17" x14ac:dyDescent="0.3">
      <c r="C89">
        <f t="shared" si="26"/>
        <v>162.90000000000046</v>
      </c>
      <c r="D89" s="1">
        <f t="shared" si="14"/>
        <v>2.9881169035385113</v>
      </c>
      <c r="E89" s="2">
        <f t="shared" si="15"/>
        <v>6.9156193230387251</v>
      </c>
      <c r="F89" s="3">
        <f t="shared" si="16"/>
        <v>-9.9029963309827505</v>
      </c>
      <c r="G89">
        <f t="shared" si="17"/>
        <v>7.3989559448683906E-4</v>
      </c>
      <c r="I89">
        <f t="shared" si="18"/>
        <v>-9.0894038914701376</v>
      </c>
      <c r="J89">
        <f t="shared" si="19"/>
        <v>38.462636519765681</v>
      </c>
      <c r="K89">
        <f t="shared" si="20"/>
        <v>20.62676737170446</v>
      </c>
      <c r="M89">
        <f t="shared" si="21"/>
        <v>-4.1598830964614883</v>
      </c>
      <c r="N89">
        <f t="shared" si="22"/>
        <v>418.70620594020056</v>
      </c>
      <c r="O89">
        <f t="shared" si="23"/>
        <v>83.741241188040107</v>
      </c>
      <c r="P89">
        <f t="shared" si="24"/>
        <v>143.97528580681825</v>
      </c>
      <c r="Q89">
        <f t="shared" si="25"/>
        <v>206.40227294136139</v>
      </c>
    </row>
    <row r="90" spans="3:17" x14ac:dyDescent="0.3">
      <c r="C90">
        <f t="shared" si="26"/>
        <v>163.80000000000047</v>
      </c>
      <c r="D90" s="1">
        <f t="shared" si="14"/>
        <v>2.8352327153370616</v>
      </c>
      <c r="E90" s="2">
        <f t="shared" si="15"/>
        <v>7.0316632517252913</v>
      </c>
      <c r="F90" s="3">
        <f t="shared" si="16"/>
        <v>-9.8661436560372895</v>
      </c>
      <c r="G90">
        <f t="shared" si="17"/>
        <v>7.5231102506378988E-4</v>
      </c>
      <c r="I90">
        <f t="shared" si="18"/>
        <v>-9.7116497723280411</v>
      </c>
      <c r="J90">
        <f t="shared" si="19"/>
        <v>38.643750795763879</v>
      </c>
      <c r="K90">
        <f t="shared" si="20"/>
        <v>21.067898976564166</v>
      </c>
      <c r="M90">
        <f t="shared" si="21"/>
        <v>-4.3127672846629377</v>
      </c>
      <c r="N90">
        <f t="shared" si="22"/>
        <v>423.14888217731237</v>
      </c>
      <c r="O90">
        <f t="shared" si="23"/>
        <v>84.629776435462475</v>
      </c>
      <c r="P90">
        <f t="shared" si="24"/>
        <v>147.12429899333014</v>
      </c>
      <c r="Q90">
        <f t="shared" si="25"/>
        <v>203.24622079490902</v>
      </c>
    </row>
    <row r="91" spans="3:17" x14ac:dyDescent="0.3">
      <c r="C91">
        <f t="shared" si="26"/>
        <v>164.70000000000047</v>
      </c>
      <c r="D91" s="1">
        <f t="shared" si="14"/>
        <v>2.6816490171492484</v>
      </c>
      <c r="E91" s="2">
        <f t="shared" si="15"/>
        <v>7.145972325054581</v>
      </c>
      <c r="F91" s="3">
        <f t="shared" si="16"/>
        <v>-9.8268568013587281</v>
      </c>
      <c r="G91">
        <f t="shared" si="17"/>
        <v>7.6454084510224618E-4</v>
      </c>
      <c r="I91">
        <f t="shared" si="18"/>
        <v>-10.33149944961508</v>
      </c>
      <c r="J91">
        <f t="shared" si="19"/>
        <v>38.815330307245326</v>
      </c>
      <c r="K91">
        <f t="shared" si="20"/>
        <v>21.516169142369755</v>
      </c>
      <c r="M91">
        <f t="shared" si="21"/>
        <v>-4.4663509828507513</v>
      </c>
      <c r="N91">
        <f t="shared" si="22"/>
        <v>427.57679534784961</v>
      </c>
      <c r="O91">
        <f t="shared" si="23"/>
        <v>85.515359069569925</v>
      </c>
      <c r="P91">
        <f t="shared" si="24"/>
        <v>150.32665402925767</v>
      </c>
      <c r="Q91">
        <f t="shared" si="25"/>
        <v>200.04154433188236</v>
      </c>
    </row>
    <row r="92" spans="3:17" x14ac:dyDescent="0.3">
      <c r="C92">
        <f t="shared" si="26"/>
        <v>165.60000000000048</v>
      </c>
      <c r="D92" s="1">
        <f t="shared" si="14"/>
        <v>2.5274037012193427</v>
      </c>
      <c r="E92" s="2">
        <f t="shared" si="15"/>
        <v>7.2585183406367566</v>
      </c>
      <c r="F92" s="3">
        <f t="shared" si="16"/>
        <v>-9.7851454598188514</v>
      </c>
      <c r="G92">
        <f t="shared" si="17"/>
        <v>7.7658203724872976E-4</v>
      </c>
      <c r="I92">
        <f t="shared" si="18"/>
        <v>-10.948799984742557</v>
      </c>
      <c r="J92">
        <f t="shared" si="19"/>
        <v>38.977332719545174</v>
      </c>
      <c r="K92">
        <f t="shared" si="20"/>
        <v>21.971467265197383</v>
      </c>
      <c r="M92">
        <f t="shared" si="21"/>
        <v>-4.620596298780657</v>
      </c>
      <c r="N92">
        <f t="shared" si="22"/>
        <v>431.98885498209739</v>
      </c>
      <c r="O92">
        <f t="shared" si="23"/>
        <v>86.397770996419482</v>
      </c>
      <c r="P92">
        <f t="shared" si="24"/>
        <v>153.5815628329301</v>
      </c>
      <c r="Q92">
        <f t="shared" si="25"/>
        <v>196.78903630930571</v>
      </c>
    </row>
    <row r="93" spans="3:17" x14ac:dyDescent="0.3">
      <c r="C93">
        <f t="shared" si="26"/>
        <v>166.50000000000048</v>
      </c>
      <c r="D93" s="1">
        <f t="shared" si="14"/>
        <v>2.3725348230262764</v>
      </c>
      <c r="E93" s="2">
        <f t="shared" si="15"/>
        <v>7.3692735310644366</v>
      </c>
      <c r="F93" s="3">
        <f t="shared" si="16"/>
        <v>-9.7410199224600085</v>
      </c>
      <c r="G93">
        <f t="shared" si="17"/>
        <v>7.8843163070452249E-4</v>
      </c>
      <c r="I93">
        <f t="shared" si="18"/>
        <v>-11.563399068084276</v>
      </c>
      <c r="J93">
        <f t="shared" si="19"/>
        <v>39.129718061003835</v>
      </c>
      <c r="K93">
        <f t="shared" si="20"/>
        <v>22.433681007080445</v>
      </c>
      <c r="M93">
        <f t="shared" si="21"/>
        <v>-4.7754651769737233</v>
      </c>
      <c r="N93">
        <f t="shared" si="22"/>
        <v>436.38397276956846</v>
      </c>
      <c r="O93">
        <f t="shared" si="23"/>
        <v>87.276794553913689</v>
      </c>
      <c r="P93">
        <f t="shared" si="24"/>
        <v>156.88822260343025</v>
      </c>
      <c r="Q93">
        <f t="shared" si="25"/>
        <v>193.48949953352783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Vardhan Arya</dc:creator>
  <cp:lastModifiedBy>Aditya Kumar</cp:lastModifiedBy>
  <dcterms:created xsi:type="dcterms:W3CDTF">2025-03-24T04:42:15Z</dcterms:created>
  <dcterms:modified xsi:type="dcterms:W3CDTF">2025-11-16T13:37:53Z</dcterms:modified>
</cp:coreProperties>
</file>