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EN659\assignment 2\"/>
    </mc:Choice>
  </mc:AlternateContent>
  <xr:revisionPtr revIDLastSave="0" documentId="13_ncr:1_{4E653738-0779-4D06-8BBA-D46BCDD23B93}" xr6:coauthVersionLast="47" xr6:coauthVersionMax="47" xr10:uidLastSave="{00000000-0000-0000-0000-000000000000}"/>
  <bookViews>
    <workbookView xWindow="-108" yWindow="-108" windowWidth="23256" windowHeight="13896" activeTab="2" xr2:uid="{20034AAA-3F90-421D-8B90-C5094C086FDE}"/>
  </bookViews>
  <sheets>
    <sheet name="Q.1" sheetId="1" r:id="rId1"/>
    <sheet name="Q.2" sheetId="2" r:id="rId2"/>
    <sheet name="Q.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3" l="1"/>
  <c r="I6" i="1" l="1"/>
  <c r="I12" i="1"/>
  <c r="I14" i="2" l="1"/>
  <c r="I10" i="1"/>
  <c r="I8" i="1"/>
  <c r="I14" i="1" s="1"/>
</calcChain>
</file>

<file path=xl/sharedStrings.xml><?xml version="1.0" encoding="utf-8"?>
<sst xmlns="http://schemas.openxmlformats.org/spreadsheetml/2006/main" count="36" uniqueCount="15">
  <si>
    <t>P</t>
  </si>
  <si>
    <t>Q</t>
  </si>
  <si>
    <t>delta(degree)</t>
  </si>
  <si>
    <t>Vn (ph, rms)</t>
  </si>
  <si>
    <t>MI</t>
  </si>
  <si>
    <t>I (l-l, rms)</t>
  </si>
  <si>
    <t>Idc</t>
  </si>
  <si>
    <t>Idc (avg)</t>
  </si>
  <si>
    <t>Quad</t>
  </si>
  <si>
    <t>power factor</t>
  </si>
  <si>
    <t>Min Vdc</t>
  </si>
  <si>
    <t>Min Vdc for any P and Q =</t>
  </si>
  <si>
    <t>Q. 1</t>
  </si>
  <si>
    <t>Q. 2</t>
  </si>
  <si>
    <t>Q.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</si>
</sst>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2AF2-06D0-44D7-9CE2-6B7DB850A5EC}">
  <dimension ref="D1:N38"/>
  <sheetViews>
    <sheetView zoomScale="109" zoomScaleNormal="80" workbookViewId="0">
      <selection activeCell="A20" sqref="A20"/>
    </sheetView>
  </sheetViews>
  <sheetFormatPr defaultRowHeight="14.4" x14ac:dyDescent="0.3"/>
  <cols>
    <col min="1" max="4" width="8.88671875" style="1"/>
    <col min="5" max="5" width="17.21875" style="1" customWidth="1"/>
    <col min="6" max="6" width="17.109375" style="1" customWidth="1"/>
    <col min="7" max="7" width="24.33203125" style="1" customWidth="1"/>
    <col min="8" max="8" width="17.109375" style="1" customWidth="1"/>
    <col min="9" max="9" width="20.88671875" style="1" customWidth="1"/>
    <col min="10" max="12" width="8.88671875" style="1"/>
    <col min="13" max="13" width="13.21875" style="1" customWidth="1"/>
    <col min="14" max="16384" width="8.88671875" style="1"/>
  </cols>
  <sheetData>
    <row r="1" spans="4:13" x14ac:dyDescent="0.3">
      <c r="G1" s="11" t="s">
        <v>12</v>
      </c>
      <c r="H1" s="12"/>
      <c r="I1" s="13"/>
    </row>
    <row r="4" spans="4:13" x14ac:dyDescent="0.3">
      <c r="D4" s="3" t="s">
        <v>8</v>
      </c>
      <c r="E4" s="4" t="s">
        <v>0</v>
      </c>
      <c r="F4" s="4" t="s">
        <v>1</v>
      </c>
      <c r="G4" s="4" t="s">
        <v>3</v>
      </c>
      <c r="H4" s="4" t="s">
        <v>2</v>
      </c>
      <c r="I4" s="4" t="s">
        <v>10</v>
      </c>
      <c r="J4" s="4" t="s">
        <v>4</v>
      </c>
      <c r="K4" s="4" t="s">
        <v>5</v>
      </c>
      <c r="L4" s="4" t="s">
        <v>7</v>
      </c>
      <c r="M4" s="5" t="s">
        <v>9</v>
      </c>
    </row>
    <row r="5" spans="4:13" x14ac:dyDescent="0.3">
      <c r="D5" s="6"/>
      <c r="M5" s="7"/>
    </row>
    <row r="6" spans="4:13" x14ac:dyDescent="0.3">
      <c r="D6" s="6">
        <v>1</v>
      </c>
      <c r="E6" s="1">
        <v>5000</v>
      </c>
      <c r="F6" s="1">
        <v>3000</v>
      </c>
      <c r="G6" s="1">
        <v>227.26910000000001</v>
      </c>
      <c r="H6" s="1">
        <v>0.93479999999999996</v>
      </c>
      <c r="I6" s="1">
        <f>SQRT(6)*G6</f>
        <v>556.6933293015644</v>
      </c>
      <c r="J6" s="1">
        <v>0.91830000000000001</v>
      </c>
      <c r="K6" s="1">
        <v>8.4506999999999994</v>
      </c>
      <c r="L6" s="1">
        <v>7.1180000000000003</v>
      </c>
      <c r="M6" s="7">
        <v>0.83199999999999996</v>
      </c>
    </row>
    <row r="7" spans="4:13" x14ac:dyDescent="0.3">
      <c r="D7" s="6"/>
      <c r="M7" s="7"/>
    </row>
    <row r="8" spans="4:13" x14ac:dyDescent="0.3">
      <c r="D8" s="6">
        <v>2</v>
      </c>
      <c r="E8" s="1">
        <v>-5000</v>
      </c>
      <c r="F8" s="1">
        <v>3000</v>
      </c>
      <c r="G8" s="1">
        <v>228.06610000000001</v>
      </c>
      <c r="H8" s="1">
        <v>-1.0505</v>
      </c>
      <c r="I8" s="1">
        <f>SQRT(6)*G8</f>
        <v>558.64557262656251</v>
      </c>
      <c r="J8" s="1">
        <v>0.92149999999999999</v>
      </c>
      <c r="K8" s="1">
        <v>8.4506999999999994</v>
      </c>
      <c r="L8" s="1">
        <v>-7.1509999999999998</v>
      </c>
      <c r="M8" s="7">
        <v>0.84750000000000003</v>
      </c>
    </row>
    <row r="9" spans="4:13" x14ac:dyDescent="0.3">
      <c r="D9" s="6"/>
      <c r="M9" s="7"/>
    </row>
    <row r="10" spans="4:13" x14ac:dyDescent="0.3">
      <c r="D10" s="6">
        <v>3</v>
      </c>
      <c r="E10" s="1">
        <v>-5000</v>
      </c>
      <c r="F10" s="1">
        <v>-3000</v>
      </c>
      <c r="G10" s="1">
        <v>232.79069999999999</v>
      </c>
      <c r="H10" s="1">
        <v>-0.91259999999999997</v>
      </c>
      <c r="I10" s="1">
        <f>SQRT(6)*G10</f>
        <v>570.21843186531589</v>
      </c>
      <c r="J10" s="1">
        <v>0.94059999999999999</v>
      </c>
      <c r="K10" s="1">
        <v>8.4506999999999994</v>
      </c>
      <c r="L10" s="1">
        <v>-7.1639999999999997</v>
      </c>
      <c r="M10" s="7">
        <v>0.84950000000000003</v>
      </c>
    </row>
    <row r="11" spans="4:13" x14ac:dyDescent="0.3">
      <c r="D11" s="6"/>
      <c r="M11" s="7"/>
    </row>
    <row r="12" spans="4:13" x14ac:dyDescent="0.3">
      <c r="D12" s="8">
        <v>4</v>
      </c>
      <c r="E12" s="9">
        <v>5000</v>
      </c>
      <c r="F12" s="9">
        <v>-3000</v>
      </c>
      <c r="G12" s="9">
        <v>232.00989999999999</v>
      </c>
      <c r="H12" s="9">
        <v>1.0326</v>
      </c>
      <c r="I12" s="9">
        <f>SQRT(6)*G12</f>
        <v>568.30587027415083</v>
      </c>
      <c r="J12" s="9">
        <v>0.9375</v>
      </c>
      <c r="K12" s="9">
        <v>8.4506999999999994</v>
      </c>
      <c r="L12" s="9">
        <v>7.1029999999999998</v>
      </c>
      <c r="M12" s="10">
        <v>0.86009999999999998</v>
      </c>
    </row>
    <row r="14" spans="4:13" ht="28.8" x14ac:dyDescent="0.3">
      <c r="H14" s="2" t="s">
        <v>11</v>
      </c>
      <c r="I14" s="2">
        <f>MIN(I6,I8,I10,I12)</f>
        <v>556.6933293015644</v>
      </c>
    </row>
    <row r="30" spans="5:14" x14ac:dyDescent="0.3">
      <c r="E30" s="3"/>
      <c r="F30" s="4"/>
      <c r="G30" s="4"/>
      <c r="H30" s="4"/>
      <c r="I30" s="4"/>
      <c r="J30" s="4"/>
      <c r="K30" s="4"/>
      <c r="L30" s="4"/>
      <c r="M30" s="4"/>
      <c r="N30" s="5"/>
    </row>
    <row r="31" spans="5:14" x14ac:dyDescent="0.3">
      <c r="E31" s="6"/>
      <c r="N31" s="7"/>
    </row>
    <row r="32" spans="5:14" x14ac:dyDescent="0.3">
      <c r="E32" s="6"/>
      <c r="N32" s="7"/>
    </row>
    <row r="33" spans="5:14" x14ac:dyDescent="0.3">
      <c r="E33" s="6"/>
      <c r="N33" s="7"/>
    </row>
    <row r="34" spans="5:14" x14ac:dyDescent="0.3">
      <c r="E34" s="6"/>
      <c r="N34" s="7"/>
    </row>
    <row r="35" spans="5:14" x14ac:dyDescent="0.3">
      <c r="E35" s="6"/>
      <c r="N35" s="7"/>
    </row>
    <row r="36" spans="5:14" x14ac:dyDescent="0.3">
      <c r="E36" s="6"/>
      <c r="N36" s="7"/>
    </row>
    <row r="37" spans="5:14" x14ac:dyDescent="0.3">
      <c r="E37" s="6"/>
      <c r="N37" s="7"/>
    </row>
    <row r="38" spans="5:14" x14ac:dyDescent="0.3">
      <c r="E38" s="8"/>
      <c r="F38" s="9"/>
      <c r="G38" s="9"/>
      <c r="H38" s="9"/>
      <c r="I38" s="9"/>
      <c r="J38" s="9"/>
      <c r="K38" s="9"/>
      <c r="L38" s="9"/>
      <c r="M38" s="9"/>
      <c r="N38" s="10"/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3B34-CC15-40C9-A086-284B6C66F2EB}">
  <dimension ref="C1:N15"/>
  <sheetViews>
    <sheetView zoomScaleNormal="100" workbookViewId="0">
      <selection activeCell="H14" sqref="H14"/>
    </sheetView>
  </sheetViews>
  <sheetFormatPr defaultRowHeight="14.4" x14ac:dyDescent="0.3"/>
  <cols>
    <col min="5" max="5" width="17.21875" customWidth="1"/>
    <col min="6" max="6" width="17.109375" customWidth="1"/>
    <col min="7" max="7" width="24.33203125" customWidth="1"/>
    <col min="8" max="8" width="17.109375" customWidth="1"/>
    <col min="9" max="9" width="20.88671875" customWidth="1"/>
    <col min="13" max="13" width="13.21875" customWidth="1"/>
  </cols>
  <sheetData>
    <row r="1" spans="3:14" x14ac:dyDescent="0.3">
      <c r="C1" s="1"/>
      <c r="D1" s="1"/>
      <c r="E1" s="1"/>
      <c r="F1" s="1"/>
      <c r="G1" s="11" t="s">
        <v>13</v>
      </c>
      <c r="H1" s="12"/>
      <c r="I1" s="13"/>
      <c r="J1" s="1"/>
      <c r="K1" s="1"/>
      <c r="L1" s="1"/>
      <c r="M1" s="1"/>
      <c r="N1" s="1"/>
    </row>
    <row r="2" spans="3:14" x14ac:dyDescent="0.3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3:14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3:14" x14ac:dyDescent="0.3">
      <c r="C4" s="1"/>
      <c r="D4" s="3" t="s">
        <v>8</v>
      </c>
      <c r="E4" s="4" t="s">
        <v>0</v>
      </c>
      <c r="F4" s="4" t="s">
        <v>1</v>
      </c>
      <c r="G4" s="4" t="s">
        <v>3</v>
      </c>
      <c r="H4" s="4" t="s">
        <v>2</v>
      </c>
      <c r="I4" s="4" t="s">
        <v>10</v>
      </c>
      <c r="J4" s="4" t="s">
        <v>4</v>
      </c>
      <c r="K4" s="4" t="s">
        <v>5</v>
      </c>
      <c r="L4" s="4" t="s">
        <v>6</v>
      </c>
      <c r="M4" s="5" t="s">
        <v>9</v>
      </c>
      <c r="N4" s="1"/>
    </row>
    <row r="5" spans="3:14" x14ac:dyDescent="0.3">
      <c r="C5" s="1"/>
      <c r="D5" s="6"/>
      <c r="E5" s="1"/>
      <c r="F5" s="1"/>
      <c r="G5" s="1"/>
      <c r="H5" s="1"/>
      <c r="I5" s="1"/>
      <c r="J5" s="1"/>
      <c r="K5" s="1"/>
      <c r="L5" s="1"/>
      <c r="M5" s="7"/>
      <c r="N5" s="1"/>
    </row>
    <row r="6" spans="3:14" x14ac:dyDescent="0.3">
      <c r="C6" s="1"/>
      <c r="D6" s="6">
        <v>1</v>
      </c>
      <c r="E6" s="1">
        <v>5000</v>
      </c>
      <c r="F6" s="1">
        <v>3000</v>
      </c>
      <c r="G6" s="1">
        <v>227.26910000000001</v>
      </c>
      <c r="H6" s="1">
        <v>0.93479999999999996</v>
      </c>
      <c r="I6" s="1">
        <v>556.6934</v>
      </c>
      <c r="J6" s="1">
        <v>0.97840000000000005</v>
      </c>
      <c r="K6" s="1">
        <v>8.4506999999999994</v>
      </c>
      <c r="L6" s="1">
        <v>7.1429</v>
      </c>
      <c r="M6" s="7">
        <v>0.93600000000000005</v>
      </c>
      <c r="N6" s="1"/>
    </row>
    <row r="7" spans="3:14" x14ac:dyDescent="0.3">
      <c r="C7" s="1"/>
      <c r="D7" s="6"/>
      <c r="E7" s="1"/>
      <c r="F7" s="1"/>
      <c r="G7" s="1"/>
      <c r="H7" s="1"/>
      <c r="I7" s="1"/>
      <c r="J7" s="1"/>
      <c r="K7" s="1"/>
      <c r="L7" s="1"/>
      <c r="M7" s="7"/>
      <c r="N7" s="1"/>
    </row>
    <row r="8" spans="3:14" x14ac:dyDescent="0.3">
      <c r="C8" s="1"/>
      <c r="D8" s="6">
        <v>2</v>
      </c>
      <c r="E8" s="1">
        <v>-5000</v>
      </c>
      <c r="F8" s="1">
        <v>3000</v>
      </c>
      <c r="G8" s="1">
        <v>228.066</v>
      </c>
      <c r="H8" s="1">
        <v>-1.0505</v>
      </c>
      <c r="I8" s="1">
        <v>558.64499999999998</v>
      </c>
      <c r="J8" s="1">
        <v>0.92149999999999999</v>
      </c>
      <c r="K8" s="1">
        <v>8.4506999999999994</v>
      </c>
      <c r="L8" s="1">
        <v>-7.1429</v>
      </c>
      <c r="M8" s="7">
        <v>0.86580000000000001</v>
      </c>
      <c r="N8" s="1"/>
    </row>
    <row r="9" spans="3:14" x14ac:dyDescent="0.3">
      <c r="C9" s="1"/>
      <c r="D9" s="6"/>
      <c r="E9" s="1"/>
      <c r="F9" s="1"/>
      <c r="G9" s="1"/>
      <c r="H9" s="1"/>
      <c r="I9" s="1"/>
      <c r="J9" s="1"/>
      <c r="K9" s="1"/>
      <c r="L9" s="1"/>
      <c r="M9" s="7"/>
      <c r="N9" s="1"/>
    </row>
    <row r="10" spans="3:14" x14ac:dyDescent="0.3">
      <c r="C10" s="1"/>
      <c r="D10" s="6">
        <v>3</v>
      </c>
      <c r="E10" s="1">
        <v>-5000</v>
      </c>
      <c r="F10" s="1">
        <v>-3000</v>
      </c>
      <c r="G10" s="1">
        <v>232.791</v>
      </c>
      <c r="H10" s="1">
        <v>-0.91259999999999997</v>
      </c>
      <c r="I10" s="1">
        <v>570.21799999999996</v>
      </c>
      <c r="J10" s="1">
        <v>0.94059999999999999</v>
      </c>
      <c r="K10" s="1">
        <v>8.4506999999999994</v>
      </c>
      <c r="L10" s="1">
        <v>-7.1429</v>
      </c>
      <c r="M10" s="7">
        <v>0.83919999999999995</v>
      </c>
      <c r="N10" s="1"/>
    </row>
    <row r="11" spans="3:14" x14ac:dyDescent="0.3">
      <c r="C11" s="1"/>
      <c r="D11" s="6"/>
      <c r="E11" s="1"/>
      <c r="F11" s="1"/>
      <c r="G11" s="1"/>
      <c r="H11" s="1"/>
      <c r="I11" s="1"/>
      <c r="J11" s="1"/>
      <c r="K11" s="1"/>
      <c r="L11" s="1"/>
      <c r="M11" s="7"/>
      <c r="N11" s="1"/>
    </row>
    <row r="12" spans="3:14" x14ac:dyDescent="0.3">
      <c r="C12" s="1"/>
      <c r="D12" s="8">
        <v>4</v>
      </c>
      <c r="E12" s="9">
        <v>5000</v>
      </c>
      <c r="F12" s="9">
        <v>-3000</v>
      </c>
      <c r="G12" s="9">
        <v>232.00899999999999</v>
      </c>
      <c r="H12" s="9">
        <v>1.0326</v>
      </c>
      <c r="I12" s="9">
        <v>568.30600000000004</v>
      </c>
      <c r="J12" s="9">
        <v>0.9375</v>
      </c>
      <c r="K12" s="9">
        <v>8.4506999999999994</v>
      </c>
      <c r="L12" s="9">
        <v>7.1429</v>
      </c>
      <c r="M12" s="10">
        <v>0.89349999999999996</v>
      </c>
      <c r="N12" s="1"/>
    </row>
    <row r="13" spans="3:14" x14ac:dyDescent="0.3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3:14" ht="28.8" x14ac:dyDescent="0.3">
      <c r="C14" s="1"/>
      <c r="D14" s="1"/>
      <c r="E14" s="1"/>
      <c r="F14" s="1"/>
      <c r="G14" s="1"/>
      <c r="H14" s="2" t="s">
        <v>11</v>
      </c>
      <c r="I14" s="2">
        <f>MIN(I6,I8,I10,I12)</f>
        <v>556.6934</v>
      </c>
      <c r="J14" s="1"/>
      <c r="K14" s="1"/>
      <c r="L14" s="1"/>
      <c r="M14" s="1"/>
      <c r="N14" s="1"/>
    </row>
    <row r="15" spans="3:14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02A6-2E49-4B64-B184-7D7AF1A09BB5}">
  <dimension ref="C1:N15"/>
  <sheetViews>
    <sheetView tabSelected="1" workbookViewId="0">
      <selection activeCell="E21" sqref="E21"/>
    </sheetView>
  </sheetViews>
  <sheetFormatPr defaultRowHeight="14.4" x14ac:dyDescent="0.3"/>
  <cols>
    <col min="5" max="5" width="17.21875" customWidth="1"/>
    <col min="6" max="6" width="17.109375" customWidth="1"/>
    <col min="7" max="7" width="24.33203125" customWidth="1"/>
    <col min="8" max="8" width="17.109375" customWidth="1"/>
    <col min="9" max="9" width="20.88671875" customWidth="1"/>
    <col min="13" max="13" width="13.21875" customWidth="1"/>
  </cols>
  <sheetData>
    <row r="1" spans="3:14" x14ac:dyDescent="0.3">
      <c r="C1" s="1"/>
      <c r="D1" s="1"/>
      <c r="E1" s="1"/>
      <c r="F1" s="1"/>
      <c r="G1" s="11" t="s">
        <v>14</v>
      </c>
      <c r="H1" s="12"/>
      <c r="I1" s="13"/>
      <c r="J1" s="1"/>
      <c r="K1" s="1"/>
      <c r="L1" s="1"/>
      <c r="M1" s="1"/>
      <c r="N1" s="1"/>
    </row>
    <row r="2" spans="3:14" x14ac:dyDescent="0.3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3:14" x14ac:dyDescent="0.3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3:14" x14ac:dyDescent="0.3">
      <c r="C4" s="1"/>
      <c r="D4" s="3" t="s">
        <v>8</v>
      </c>
      <c r="E4" s="4" t="s">
        <v>0</v>
      </c>
      <c r="F4" s="4" t="s">
        <v>1</v>
      </c>
      <c r="G4" s="4" t="s">
        <v>3</v>
      </c>
      <c r="H4" s="4" t="s">
        <v>2</v>
      </c>
      <c r="I4" s="4" t="s">
        <v>10</v>
      </c>
      <c r="J4" s="4" t="s">
        <v>4</v>
      </c>
      <c r="K4" s="4" t="s">
        <v>5</v>
      </c>
      <c r="L4" s="4" t="s">
        <v>6</v>
      </c>
      <c r="M4" s="5" t="s">
        <v>9</v>
      </c>
      <c r="N4" s="1"/>
    </row>
    <row r="5" spans="3:14" x14ac:dyDescent="0.3">
      <c r="C5" s="1"/>
      <c r="D5" s="6"/>
      <c r="E5" s="1"/>
      <c r="F5" s="1"/>
      <c r="G5" s="1"/>
      <c r="H5" s="1"/>
      <c r="I5" s="1"/>
      <c r="J5" s="1"/>
      <c r="K5" s="1"/>
      <c r="L5" s="1"/>
      <c r="M5" s="7"/>
      <c r="N5" s="1"/>
    </row>
    <row r="6" spans="3:14" x14ac:dyDescent="0.3">
      <c r="C6" s="1"/>
      <c r="D6" s="6">
        <v>1</v>
      </c>
      <c r="E6" s="1">
        <v>5000</v>
      </c>
      <c r="F6" s="1">
        <v>3000</v>
      </c>
      <c r="G6" s="1">
        <v>227.26910000000001</v>
      </c>
      <c r="H6" s="1">
        <v>0.93479999999999996</v>
      </c>
      <c r="I6" s="1">
        <v>556.6934</v>
      </c>
      <c r="J6" s="1">
        <v>0.97840000000000005</v>
      </c>
      <c r="K6" s="1">
        <v>8.4506999999999994</v>
      </c>
      <c r="L6" s="1">
        <v>7.1429</v>
      </c>
      <c r="M6" s="7">
        <v>0.83779999999999999</v>
      </c>
      <c r="N6" s="1"/>
    </row>
    <row r="7" spans="3:14" x14ac:dyDescent="0.3">
      <c r="C7" s="1"/>
      <c r="D7" s="6"/>
      <c r="E7" s="1"/>
      <c r="F7" s="1"/>
      <c r="G7" s="1"/>
      <c r="H7" s="1"/>
      <c r="I7" s="1"/>
      <c r="J7" s="1"/>
      <c r="K7" s="1"/>
      <c r="L7" s="1"/>
      <c r="M7" s="7"/>
      <c r="N7" s="1"/>
    </row>
    <row r="8" spans="3:14" x14ac:dyDescent="0.3">
      <c r="C8" s="1"/>
      <c r="D8" s="6">
        <v>2</v>
      </c>
      <c r="E8" s="1">
        <v>-5000</v>
      </c>
      <c r="F8" s="1">
        <v>3000</v>
      </c>
      <c r="G8" s="1">
        <v>228.066</v>
      </c>
      <c r="H8" s="1">
        <v>-1.0505</v>
      </c>
      <c r="I8" s="1">
        <v>558.64499999999998</v>
      </c>
      <c r="J8" s="1">
        <v>0.92149999999999999</v>
      </c>
      <c r="K8" s="1">
        <v>8.4506999999999994</v>
      </c>
      <c r="L8" s="1">
        <v>-7.1429</v>
      </c>
      <c r="M8" s="7">
        <v>0.85499999999999998</v>
      </c>
      <c r="N8" s="1"/>
    </row>
    <row r="9" spans="3:14" x14ac:dyDescent="0.3">
      <c r="C9" s="1"/>
      <c r="D9" s="6"/>
      <c r="E9" s="1"/>
      <c r="F9" s="1"/>
      <c r="G9" s="1"/>
      <c r="H9" s="1"/>
      <c r="I9" s="1"/>
      <c r="J9" s="1"/>
      <c r="K9" s="1"/>
      <c r="L9" s="1"/>
      <c r="M9" s="7"/>
      <c r="N9" s="1"/>
    </row>
    <row r="10" spans="3:14" x14ac:dyDescent="0.3">
      <c r="C10" s="1"/>
      <c r="D10" s="6">
        <v>3</v>
      </c>
      <c r="E10" s="1">
        <v>-5000</v>
      </c>
      <c r="F10" s="1">
        <v>-3000</v>
      </c>
      <c r="G10" s="1">
        <v>232.791</v>
      </c>
      <c r="H10" s="1">
        <v>-0.91259999999999997</v>
      </c>
      <c r="I10" s="1">
        <v>570.21799999999996</v>
      </c>
      <c r="J10" s="1">
        <v>0.94059999999999999</v>
      </c>
      <c r="K10" s="1">
        <v>8.4506999999999994</v>
      </c>
      <c r="L10" s="1">
        <v>-7.1429</v>
      </c>
      <c r="M10" s="7">
        <v>0.84699999999999998</v>
      </c>
      <c r="N10" s="1"/>
    </row>
    <row r="11" spans="3:14" x14ac:dyDescent="0.3">
      <c r="C11" s="1"/>
      <c r="D11" s="6"/>
      <c r="E11" s="1"/>
      <c r="F11" s="1"/>
      <c r="G11" s="1"/>
      <c r="H11" s="1"/>
      <c r="I11" s="1"/>
      <c r="J11" s="1"/>
      <c r="K11" s="1"/>
      <c r="L11" s="1"/>
      <c r="M11" s="7"/>
      <c r="N11" s="1"/>
    </row>
    <row r="12" spans="3:14" x14ac:dyDescent="0.3">
      <c r="C12" s="1"/>
      <c r="D12" s="8">
        <v>4</v>
      </c>
      <c r="E12" s="9">
        <v>5000</v>
      </c>
      <c r="F12" s="9">
        <v>-3000</v>
      </c>
      <c r="G12" s="9">
        <v>232.00899999999999</v>
      </c>
      <c r="H12" s="9">
        <v>1.0326</v>
      </c>
      <c r="I12" s="9">
        <v>568.30600000000004</v>
      </c>
      <c r="J12" s="9">
        <v>0.9375</v>
      </c>
      <c r="K12" s="9">
        <v>8.4506999999999994</v>
      </c>
      <c r="L12" s="9">
        <v>7.1429</v>
      </c>
      <c r="M12" s="10">
        <v>0.89259999999999995</v>
      </c>
      <c r="N12" s="1"/>
    </row>
    <row r="13" spans="3:14" x14ac:dyDescent="0.3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3:14" ht="28.8" x14ac:dyDescent="0.3">
      <c r="C14" s="1"/>
      <c r="D14" s="1"/>
      <c r="E14" s="1"/>
      <c r="F14" s="1"/>
      <c r="G14" s="1"/>
      <c r="H14" s="2" t="s">
        <v>11</v>
      </c>
      <c r="I14" s="2">
        <f>MIN(I6,I8,I10,I12)</f>
        <v>556.6934</v>
      </c>
      <c r="J14" s="1"/>
      <c r="K14" s="1"/>
      <c r="L14" s="1"/>
      <c r="M14" s="1"/>
      <c r="N14" s="1"/>
    </row>
    <row r="15" spans="3:14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Q.1</vt:lpstr>
      <vt:lpstr>Q.2</vt:lpstr>
      <vt:lpstr>Q.3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Saini</dc:creator>
  <cp:lastModifiedBy>Aditya Kumar</cp:lastModifiedBy>
  <dcterms:created xsi:type="dcterms:W3CDTF">2025-03-19T14:14:40Z</dcterms:created>
  <dcterms:modified xsi:type="dcterms:W3CDTF">2025-03-27T20:19:39Z</dcterms:modified>
</cp:coreProperties>
</file>