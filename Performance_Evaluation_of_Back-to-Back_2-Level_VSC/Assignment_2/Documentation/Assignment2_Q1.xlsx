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.Tech 2nd Sem\EN 659 Energy Efficient Industrial Drives\Assignments\assignment 2 everything\"/>
    </mc:Choice>
  </mc:AlternateContent>
  <xr:revisionPtr revIDLastSave="0" documentId="13_ncr:1_{A85D6570-CB71-494E-9087-4F3BB1B6519D}" xr6:coauthVersionLast="47" xr6:coauthVersionMax="47" xr10:uidLastSave="{00000000-0000-0000-0000-000000000000}"/>
  <bookViews>
    <workbookView xWindow="-108" yWindow="-108" windowWidth="23256" windowHeight="13896" xr2:uid="{706F9261-67B7-4067-AB70-601D49727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D12" i="1"/>
  <c r="M6" i="1"/>
  <c r="F4" i="1"/>
  <c r="E4" i="1"/>
  <c r="D13" i="1"/>
  <c r="J4" i="1"/>
  <c r="J6" i="1"/>
  <c r="I4" i="1"/>
  <c r="H4" i="1"/>
  <c r="G4" i="1"/>
  <c r="D14" i="1"/>
  <c r="D15" i="1"/>
  <c r="L5" i="1"/>
  <c r="L6" i="1"/>
  <c r="L7" i="1"/>
  <c r="I6" i="1"/>
  <c r="H6" i="1"/>
  <c r="H7" i="1"/>
  <c r="I7" i="1" s="1"/>
  <c r="E6" i="1"/>
  <c r="E7" i="1"/>
  <c r="D5" i="1"/>
  <c r="F5" i="1" s="1"/>
  <c r="D6" i="1"/>
  <c r="F6" i="1" s="1"/>
  <c r="D7" i="1"/>
  <c r="F7" i="1" s="1"/>
  <c r="D4" i="1"/>
  <c r="C5" i="1"/>
  <c r="C6" i="1"/>
  <c r="C7" i="1"/>
  <c r="C4" i="1"/>
  <c r="E5" i="1" l="1"/>
  <c r="G5" i="1" s="1"/>
  <c r="H5" i="1"/>
  <c r="I5" i="1" s="1"/>
  <c r="G7" i="1"/>
  <c r="G6" i="1"/>
  <c r="J5" i="1" l="1"/>
  <c r="M5" i="1"/>
  <c r="J7" i="1"/>
  <c r="M7" i="1"/>
  <c r="M4" i="1"/>
</calcChain>
</file>

<file path=xl/sharedStrings.xml><?xml version="1.0" encoding="utf-8"?>
<sst xmlns="http://schemas.openxmlformats.org/spreadsheetml/2006/main" count="19" uniqueCount="18">
  <si>
    <t>P</t>
  </si>
  <si>
    <t>Q</t>
  </si>
  <si>
    <t>Vn</t>
  </si>
  <si>
    <t>delta</t>
  </si>
  <si>
    <t>Vdc</t>
  </si>
  <si>
    <t>Idc</t>
  </si>
  <si>
    <t>X</t>
  </si>
  <si>
    <t>Vm</t>
  </si>
  <si>
    <t>P (per phase)</t>
  </si>
  <si>
    <t>Q (per phase)</t>
  </si>
  <si>
    <t>Ist term</t>
  </si>
  <si>
    <t>IInd term</t>
  </si>
  <si>
    <t>tan(delta)</t>
  </si>
  <si>
    <t>m</t>
  </si>
  <si>
    <t>Q.1</t>
  </si>
  <si>
    <t>L</t>
  </si>
  <si>
    <t>2.074 mH</t>
  </si>
  <si>
    <t>Rdc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</si>
</sst>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ADA0B-F471-4ABC-8089-3977818780D9}">
  <dimension ref="A1:M20"/>
  <sheetViews>
    <sheetView tabSelected="1" zoomScale="130" zoomScaleNormal="130" workbookViewId="0">
      <selection activeCell="L13" sqref="L13"/>
    </sheetView>
  </sheetViews>
  <sheetFormatPr defaultRowHeight="14.4" x14ac:dyDescent="0.3"/>
  <cols>
    <col min="1" max="2" width="8.88671875" style="1"/>
    <col min="3" max="3" width="11.44140625" style="1" bestFit="1" customWidth="1"/>
    <col min="4" max="4" width="11.77734375" style="1" bestFit="1" customWidth="1"/>
    <col min="5" max="6" width="11.77734375" style="1" customWidth="1"/>
    <col min="7" max="16384" width="8.88671875" style="1"/>
  </cols>
  <sheetData>
    <row r="1" spans="1:13" x14ac:dyDescent="0.3">
      <c r="D1" s="13" t="s">
        <v>14</v>
      </c>
      <c r="E1" s="14"/>
      <c r="F1" s="14"/>
      <c r="G1" s="15"/>
    </row>
    <row r="3" spans="1:13" x14ac:dyDescent="0.3">
      <c r="A3" s="2" t="s">
        <v>0</v>
      </c>
      <c r="B3" s="3" t="s">
        <v>1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2</v>
      </c>
      <c r="H3" s="3" t="s">
        <v>12</v>
      </c>
      <c r="I3" s="3" t="s">
        <v>3</v>
      </c>
      <c r="J3" s="4" t="s">
        <v>4</v>
      </c>
      <c r="K3" s="3" t="s">
        <v>4</v>
      </c>
      <c r="L3" s="3" t="s">
        <v>5</v>
      </c>
      <c r="M3" s="5" t="s">
        <v>13</v>
      </c>
    </row>
    <row r="4" spans="1:13" x14ac:dyDescent="0.3">
      <c r="A4" s="6">
        <v>5000</v>
      </c>
      <c r="B4" s="1">
        <v>3000</v>
      </c>
      <c r="C4" s="1">
        <f>A4/3</f>
        <v>1666.6666666666667</v>
      </c>
      <c r="D4" s="1">
        <f>B4/3</f>
        <v>1000</v>
      </c>
      <c r="E4" s="1">
        <f>(C4*0.6516/325)^2</f>
        <v>11.165879289940829</v>
      </c>
      <c r="F4" s="1">
        <f>(325-D4*0.6516/325)^2</f>
        <v>104325.81971654437</v>
      </c>
      <c r="G4" s="1">
        <f>(SQRT(E4+F4))</f>
        <v>323.01236136692091</v>
      </c>
      <c r="H4" s="1">
        <f>(C4*0.6516)</f>
        <v>1086</v>
      </c>
      <c r="I4" s="1">
        <f>ATAN(H4)</f>
        <v>1.5698755167420702</v>
      </c>
      <c r="J4" s="7">
        <f>(2*G4*SQRT(2))</f>
        <v>913.61692451851752</v>
      </c>
      <c r="K4" s="1">
        <v>913.61689999999999</v>
      </c>
      <c r="L4" s="1">
        <f>A4/$K$4</f>
        <v>5.472753404627257</v>
      </c>
      <c r="M4" s="8">
        <f>(2*G4*SQRT(2)/913.6169)</f>
        <v>1.0000000268367601</v>
      </c>
    </row>
    <row r="5" spans="1:13" x14ac:dyDescent="0.3">
      <c r="A5" s="6">
        <v>-5000</v>
      </c>
      <c r="B5" s="1">
        <v>3000</v>
      </c>
      <c r="C5" s="1">
        <f t="shared" ref="C5:C7" si="0">A5/3</f>
        <v>-1666.6666666666667</v>
      </c>
      <c r="D5" s="1">
        <f t="shared" ref="D5:D7" si="1">B5/3</f>
        <v>1000</v>
      </c>
      <c r="E5" s="1">
        <f t="shared" ref="E5:E7" si="2">(C5*0.6516/325)^2</f>
        <v>11.165879289940829</v>
      </c>
      <c r="F5" s="1">
        <f t="shared" ref="F5:F7" si="3">(230-D5*0.6516/230)^2</f>
        <v>51604.826135349722</v>
      </c>
      <c r="G5" s="1">
        <f t="shared" ref="G5:G7" si="4">(SQRT(E5+F5))</f>
        <v>227.19153156453623</v>
      </c>
      <c r="H5" s="1">
        <f t="shared" ref="H5:H7" si="5">(C5*0.6516)</f>
        <v>-1086</v>
      </c>
      <c r="I5" s="1">
        <f t="shared" ref="I5:I7" si="6">ATAN(H5)</f>
        <v>-1.5698755167420702</v>
      </c>
      <c r="J5" s="7">
        <f t="shared" ref="J5:J7" si="7">(2*G5*SQRT(2))</f>
        <v>642.59469038976454</v>
      </c>
      <c r="L5" s="1">
        <f t="shared" ref="L5:L7" si="8">A5/$K$4</f>
        <v>-5.472753404627257</v>
      </c>
      <c r="M5" s="8">
        <f t="shared" ref="M5:M7" si="9">(2*G5*SQRT(2)/913.6169)</f>
        <v>0.70335245592519635</v>
      </c>
    </row>
    <row r="6" spans="1:13" x14ac:dyDescent="0.3">
      <c r="A6" s="6">
        <v>-5000</v>
      </c>
      <c r="B6" s="1">
        <v>-3000</v>
      </c>
      <c r="C6" s="1">
        <f t="shared" si="0"/>
        <v>-1666.6666666666667</v>
      </c>
      <c r="D6" s="1">
        <f t="shared" si="1"/>
        <v>-1000</v>
      </c>
      <c r="E6" s="1">
        <f t="shared" si="2"/>
        <v>11.165879289940829</v>
      </c>
      <c r="F6" s="1">
        <f t="shared" si="3"/>
        <v>54211.226135349716</v>
      </c>
      <c r="G6" s="1">
        <f t="shared" si="4"/>
        <v>232.85702053972875</v>
      </c>
      <c r="H6" s="1">
        <f t="shared" si="5"/>
        <v>-1086</v>
      </c>
      <c r="I6" s="1">
        <f t="shared" si="6"/>
        <v>-1.5698755167420702</v>
      </c>
      <c r="J6" s="7">
        <f>(2*G6*SQRT(2))</f>
        <v>658.61911308214951</v>
      </c>
      <c r="L6" s="1">
        <f t="shared" si="8"/>
        <v>-5.472753404627257</v>
      </c>
      <c r="M6" s="8">
        <f>(2*G6*SQRT(2)/913.6169)</f>
        <v>0.72089199869458365</v>
      </c>
    </row>
    <row r="7" spans="1:13" x14ac:dyDescent="0.3">
      <c r="A7" s="9">
        <v>5000</v>
      </c>
      <c r="B7" s="10">
        <v>-3000</v>
      </c>
      <c r="C7" s="10">
        <f t="shared" si="0"/>
        <v>1666.6666666666667</v>
      </c>
      <c r="D7" s="10">
        <f t="shared" si="1"/>
        <v>-1000</v>
      </c>
      <c r="E7" s="10">
        <f t="shared" si="2"/>
        <v>11.165879289940829</v>
      </c>
      <c r="F7" s="10">
        <f t="shared" si="3"/>
        <v>54211.226135349716</v>
      </c>
      <c r="G7" s="10">
        <f t="shared" si="4"/>
        <v>232.85702053972875</v>
      </c>
      <c r="H7" s="10">
        <f t="shared" si="5"/>
        <v>1086</v>
      </c>
      <c r="I7" s="10">
        <f t="shared" si="6"/>
        <v>1.5698755167420702</v>
      </c>
      <c r="J7" s="11">
        <f t="shared" si="7"/>
        <v>658.61911308214951</v>
      </c>
      <c r="K7" s="10"/>
      <c r="L7" s="10">
        <f t="shared" si="8"/>
        <v>5.472753404627257</v>
      </c>
      <c r="M7" s="12">
        <f t="shared" si="9"/>
        <v>0.72089199869458365</v>
      </c>
    </row>
    <row r="11" spans="1:13" x14ac:dyDescent="0.3">
      <c r="D11" s="1" t="s">
        <v>17</v>
      </c>
    </row>
    <row r="12" spans="1:13" x14ac:dyDescent="0.3">
      <c r="D12" s="1">
        <f>$K$4/L4</f>
        <v>166.939167993122</v>
      </c>
    </row>
    <row r="13" spans="1:13" x14ac:dyDescent="0.3">
      <c r="D13" s="1">
        <f>$K$4/L5</f>
        <v>-166.939167993122</v>
      </c>
    </row>
    <row r="14" spans="1:13" x14ac:dyDescent="0.3">
      <c r="D14" s="1">
        <f>$K$4/L6</f>
        <v>-166.939167993122</v>
      </c>
    </row>
    <row r="15" spans="1:13" x14ac:dyDescent="0.3">
      <c r="D15" s="1">
        <f>$K$4/L7</f>
        <v>166.939167993122</v>
      </c>
    </row>
    <row r="16" spans="1:13" x14ac:dyDescent="0.3">
      <c r="G16" s="1" t="s">
        <v>6</v>
      </c>
      <c r="H16" s="1" t="s">
        <v>7</v>
      </c>
    </row>
    <row r="17" spans="7:8" x14ac:dyDescent="0.3">
      <c r="G17" s="1">
        <v>0.65159999999999996</v>
      </c>
      <c r="H17" s="1">
        <v>325</v>
      </c>
    </row>
    <row r="19" spans="7:8" x14ac:dyDescent="0.3">
      <c r="G19" s="1" t="s">
        <v>15</v>
      </c>
    </row>
    <row r="20" spans="7:8" x14ac:dyDescent="0.3">
      <c r="G20" s="1" t="s">
        <v>16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2025-03-08T18:59:46Z</dcterms:created>
  <dcterms:modified xsi:type="dcterms:W3CDTF">2025-11-15T20:19:46Z</dcterms:modified>
</cp:coreProperties>
</file>